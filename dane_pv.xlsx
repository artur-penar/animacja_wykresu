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<sst xmlns="http://schemas.openxmlformats.org/spreadsheetml/2006/main" count="104" uniqueCount="104">
  <si>
    <t xml:space="preserve">Time</t>
  </si>
  <si>
    <t xml:space="preserve">Value [W]</t>
  </si>
  <si>
    <t xml:space="preserve">Pred [W]</t>
  </si>
  <si>
    <t xml:space="preserve">Moc [W]</t>
  </si>
  <si>
    <t xml:space="preserve">Moc Pred [W]</t>
  </si>
  <si>
    <t xml:space="preserve">Cena</t>
  </si>
  <si>
    <t xml:space="preserve">Wynik</t>
  </si>
  <si>
    <t xml:space="preserve">Wynik Pred</t>
  </si>
  <si>
    <t xml:space="preserve">5.04.2026 00:00:00</t>
  </si>
  <si>
    <t xml:space="preserve">5.04.2026 00:15:00</t>
  </si>
  <si>
    <t xml:space="preserve">5.04.2026 00:30:00</t>
  </si>
  <si>
    <t xml:space="preserve">5.04.2026 00:45:00</t>
  </si>
  <si>
    <t xml:space="preserve">5.04.2026 01:00:00</t>
  </si>
  <si>
    <t xml:space="preserve">5.04.2026 01:15:00</t>
  </si>
  <si>
    <t xml:space="preserve">5.04.2026 01:30:00</t>
  </si>
  <si>
    <t xml:space="preserve">5.04.2026 01:45:00</t>
  </si>
  <si>
    <t xml:space="preserve">5.04.2026 02:00:00</t>
  </si>
  <si>
    <t xml:space="preserve">5.04.2026 02:15:00</t>
  </si>
  <si>
    <t xml:space="preserve">5.04.2026 02:30:00</t>
  </si>
  <si>
    <t xml:space="preserve">5.04.2026 02:45:00</t>
  </si>
  <si>
    <t xml:space="preserve">5.04.2026 03:00:00</t>
  </si>
  <si>
    <t xml:space="preserve">5.04.2026 03:15:00</t>
  </si>
  <si>
    <t xml:space="preserve">5.04.2026 03:30:00</t>
  </si>
  <si>
    <t xml:space="preserve">5.04.2026 03:45:00</t>
  </si>
  <si>
    <t xml:space="preserve">5.04.2026 04:00:00</t>
  </si>
  <si>
    <t xml:space="preserve">5.04.2026 04:15:00</t>
  </si>
  <si>
    <t xml:space="preserve">5.04.2026 04:30:00</t>
  </si>
  <si>
    <t xml:space="preserve">5.04.2026 04:45:00</t>
  </si>
  <si>
    <t xml:space="preserve">5.04.2026 05:00:00</t>
  </si>
  <si>
    <t xml:space="preserve">5.04.2026 05:15:00</t>
  </si>
  <si>
    <t xml:space="preserve">5.04.2026 05:30:00</t>
  </si>
  <si>
    <t xml:space="preserve">5.04.2026 05:45:00</t>
  </si>
  <si>
    <t xml:space="preserve">5.04.2026 06:00:00</t>
  </si>
  <si>
    <t xml:space="preserve">5.04.2026 06:15:00</t>
  </si>
  <si>
    <t xml:space="preserve">5.04.2026 06:30:00</t>
  </si>
  <si>
    <t xml:space="preserve">5.04.2026 06:45:00</t>
  </si>
  <si>
    <t xml:space="preserve">5.04.2026 07:00:00</t>
  </si>
  <si>
    <t xml:space="preserve">5.04.2026 07:15:00</t>
  </si>
  <si>
    <t xml:space="preserve">5.04.2026 07:30:00</t>
  </si>
  <si>
    <t xml:space="preserve">5.04.2026 07:45:00</t>
  </si>
  <si>
    <t xml:space="preserve">5.04.2026 08:00:00</t>
  </si>
  <si>
    <t xml:space="preserve">5.04.2026 08:15:00</t>
  </si>
  <si>
    <t xml:space="preserve">5.04.2026 08:30:00</t>
  </si>
  <si>
    <t xml:space="preserve">5.04.2026 08:45:00</t>
  </si>
  <si>
    <t xml:space="preserve">5.04.2026 09:00:00</t>
  </si>
  <si>
    <t xml:space="preserve">5.04.2026 09:15:00</t>
  </si>
  <si>
    <t xml:space="preserve">5.04.2026 09:30:00</t>
  </si>
  <si>
    <t xml:space="preserve">5.04.2026 09:45:00</t>
  </si>
  <si>
    <t xml:space="preserve">5.04.2026 10:00:00</t>
  </si>
  <si>
    <t xml:space="preserve">5.04.2026 10:15:00</t>
  </si>
  <si>
    <t xml:space="preserve">5.04.2026 10:30:00</t>
  </si>
  <si>
    <t xml:space="preserve">5.04.2026 10:45:00</t>
  </si>
  <si>
    <t xml:space="preserve">5.04.2026 11:00:00</t>
  </si>
  <si>
    <t xml:space="preserve">5.04.2026 11:15:00</t>
  </si>
  <si>
    <t xml:space="preserve">5.04.2026 11:30:00</t>
  </si>
  <si>
    <t xml:space="preserve">5.04.2026 11:45:00</t>
  </si>
  <si>
    <t xml:space="preserve">5.04.2026 12:00:00</t>
  </si>
  <si>
    <t xml:space="preserve">5.04.2026 12:15:00</t>
  </si>
  <si>
    <t xml:space="preserve">5.04.2026 12:30:00</t>
  </si>
  <si>
    <t xml:space="preserve">5.04.2026 12:45:00</t>
  </si>
  <si>
    <t xml:space="preserve">5.04.2026 13:00:00</t>
  </si>
  <si>
    <t xml:space="preserve">5.04.2026 13:15:00</t>
  </si>
  <si>
    <t xml:space="preserve">5.04.2026 13:30:00</t>
  </si>
  <si>
    <t xml:space="preserve">5.04.2026 13:45:00</t>
  </si>
  <si>
    <t xml:space="preserve">5.04.2026 14:00:00</t>
  </si>
  <si>
    <t xml:space="preserve">5.04.2026 14:15:00</t>
  </si>
  <si>
    <t xml:space="preserve">5.04.2026 14:30:00</t>
  </si>
  <si>
    <t xml:space="preserve">5.04.2026 14:45:00</t>
  </si>
  <si>
    <t xml:space="preserve">5.04.2026 15:00:00</t>
  </si>
  <si>
    <t xml:space="preserve">5.04.2026 15:15:00</t>
  </si>
  <si>
    <t xml:space="preserve">5.04.2026 15:30:00</t>
  </si>
  <si>
    <t xml:space="preserve">5.04.2026 15:45:00</t>
  </si>
  <si>
    <t xml:space="preserve">5.04.2026 16:00:00</t>
  </si>
  <si>
    <t xml:space="preserve">5.04.2026 16:15:00</t>
  </si>
  <si>
    <t xml:space="preserve">5.04.2026 16:30:00</t>
  </si>
  <si>
    <t xml:space="preserve">5.04.2026 16:45:00</t>
  </si>
  <si>
    <t xml:space="preserve">5.04.2026 17:00:00</t>
  </si>
  <si>
    <t xml:space="preserve">5.04.2026 17:15:00</t>
  </si>
  <si>
    <t xml:space="preserve">5.04.2026 17:30:00</t>
  </si>
  <si>
    <t xml:space="preserve">5.04.2026 17:45:00</t>
  </si>
  <si>
    <t xml:space="preserve">5.04.2026 18:00:00</t>
  </si>
  <si>
    <t xml:space="preserve">5.04.2026 18:15:00</t>
  </si>
  <si>
    <t xml:space="preserve">5.04.2026 18:30:00</t>
  </si>
  <si>
    <t xml:space="preserve">5.04.2026 18:45:00</t>
  </si>
  <si>
    <t xml:space="preserve">5.04.2026 19:00:00</t>
  </si>
  <si>
    <t xml:space="preserve">5.04.2026 19:15:00</t>
  </si>
  <si>
    <t xml:space="preserve">5.04.2026 19:30:00</t>
  </si>
  <si>
    <t xml:space="preserve">5.04.2026 19:45:00</t>
  </si>
  <si>
    <t xml:space="preserve">5.04.2026 20:00:00</t>
  </si>
  <si>
    <t xml:space="preserve">5.04.2026 20:15:00</t>
  </si>
  <si>
    <t xml:space="preserve">5.04.2026 20:30:00</t>
  </si>
  <si>
    <t xml:space="preserve">5.04.2026 20:45:00</t>
  </si>
  <si>
    <t xml:space="preserve">5.04.2026 21:00:00</t>
  </si>
  <si>
    <t xml:space="preserve">5.04.2026 21:15:00</t>
  </si>
  <si>
    <t xml:space="preserve">5.04.2026 21:30:00</t>
  </si>
  <si>
    <t xml:space="preserve">5.04.2026 21:45:00</t>
  </si>
  <si>
    <t xml:space="preserve">5.04.2026 22:00:00</t>
  </si>
  <si>
    <t xml:space="preserve">5.04.2026 22:15:00</t>
  </si>
  <si>
    <t xml:space="preserve">5.04.2026 22:30:00</t>
  </si>
  <si>
    <t xml:space="preserve">5.04.2026 22:45:00</t>
  </si>
  <si>
    <t xml:space="preserve">5.04.2026 23:00:00</t>
  </si>
  <si>
    <t xml:space="preserve">5.04.2026 23:15:00</t>
  </si>
  <si>
    <t xml:space="preserve">5.04.2026 23:30:00</t>
  </si>
  <si>
    <t xml:space="preserve">5.04.2026 23:45:00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</si>
</sst>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:ss"/>
    <numFmt numFmtId="166" formatCode="0.00_ ;[RED]\-0.00\ "/>
  </numFmts>
  <fonts count="7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4F81BD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BACC6"/>
      <rgbColor rgb="FF9BBB59"/>
      <rgbColor rgb="FFFFCC00"/>
      <rgbColor rgb="FFFF9900"/>
      <rgbColor rgb="FFFF420E"/>
      <rgbColor rgb="FF8064A2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Tytuł wykresu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Value [W]</c:v>
                </c:pt>
              </c:strCache>
            </c:strRef>
          </c:tx>
          <c:spPr>
            <a:solidFill>
              <a:srgbClr val="4F81BD"/>
            </a:solidFill>
            <a:ln cap="rnd" w="2844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Data!$B$2:$B$97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273</c:v>
                </c:pt>
                <c:pt idx="24">
                  <c:v>4953</c:v>
                </c:pt>
                <c:pt idx="25">
                  <c:v>13533</c:v>
                </c:pt>
                <c:pt idx="26">
                  <c:v>24407</c:v>
                </c:pt>
                <c:pt idx="27">
                  <c:v>44333</c:v>
                </c:pt>
                <c:pt idx="28">
                  <c:v>75547</c:v>
                </c:pt>
                <c:pt idx="29">
                  <c:v>117607</c:v>
                </c:pt>
                <c:pt idx="30">
                  <c:v>168853</c:v>
                </c:pt>
                <c:pt idx="31">
                  <c:v>223933</c:v>
                </c:pt>
                <c:pt idx="32">
                  <c:v>118967</c:v>
                </c:pt>
                <c:pt idx="33">
                  <c:v>249313</c:v>
                </c:pt>
                <c:pt idx="34">
                  <c:v>296247</c:v>
                </c:pt>
                <c:pt idx="35">
                  <c:v>285933</c:v>
                </c:pt>
                <c:pt idx="36">
                  <c:v>280493</c:v>
                </c:pt>
                <c:pt idx="37">
                  <c:v>283587</c:v>
                </c:pt>
                <c:pt idx="38">
                  <c:v>275713</c:v>
                </c:pt>
                <c:pt idx="39">
                  <c:v>83273</c:v>
                </c:pt>
                <c:pt idx="40">
                  <c:v>78727</c:v>
                </c:pt>
                <c:pt idx="41">
                  <c:v>82040</c:v>
                </c:pt>
                <c:pt idx="42">
                  <c:v>87193</c:v>
                </c:pt>
                <c:pt idx="43">
                  <c:v>83167</c:v>
                </c:pt>
                <c:pt idx="44">
                  <c:v>88787</c:v>
                </c:pt>
                <c:pt idx="45">
                  <c:v>87107</c:v>
                </c:pt>
                <c:pt idx="46">
                  <c:v>92307</c:v>
                </c:pt>
                <c:pt idx="47">
                  <c:v>84580</c:v>
                </c:pt>
                <c:pt idx="48">
                  <c:v>79340</c:v>
                </c:pt>
                <c:pt idx="49">
                  <c:v>73033</c:v>
                </c:pt>
                <c:pt idx="50">
                  <c:v>81607</c:v>
                </c:pt>
                <c:pt idx="51">
                  <c:v>76687</c:v>
                </c:pt>
                <c:pt idx="52">
                  <c:v>74300</c:v>
                </c:pt>
                <c:pt idx="53">
                  <c:v>71433</c:v>
                </c:pt>
                <c:pt idx="54">
                  <c:v>78873</c:v>
                </c:pt>
                <c:pt idx="55">
                  <c:v>81613</c:v>
                </c:pt>
                <c:pt idx="56">
                  <c:v>75660</c:v>
                </c:pt>
                <c:pt idx="57">
                  <c:v>72947</c:v>
                </c:pt>
                <c:pt idx="58">
                  <c:v>76787</c:v>
                </c:pt>
                <c:pt idx="59">
                  <c:v>82643</c:v>
                </c:pt>
                <c:pt idx="60">
                  <c:v>75863</c:v>
                </c:pt>
                <c:pt idx="61">
                  <c:v>76707</c:v>
                </c:pt>
                <c:pt idx="62">
                  <c:v>77440</c:v>
                </c:pt>
                <c:pt idx="63">
                  <c:v>76280</c:v>
                </c:pt>
                <c:pt idx="64">
                  <c:v>76647</c:v>
                </c:pt>
                <c:pt idx="65">
                  <c:v>75767</c:v>
                </c:pt>
                <c:pt idx="66">
                  <c:v>82600</c:v>
                </c:pt>
                <c:pt idx="67">
                  <c:v>74825</c:v>
                </c:pt>
                <c:pt idx="68">
                  <c:v>78347</c:v>
                </c:pt>
                <c:pt idx="69">
                  <c:v>75113</c:v>
                </c:pt>
                <c:pt idx="70">
                  <c:v>80287</c:v>
                </c:pt>
                <c:pt idx="71">
                  <c:v>74713</c:v>
                </c:pt>
                <c:pt idx="72">
                  <c:v>79453</c:v>
                </c:pt>
                <c:pt idx="73">
                  <c:v>51529</c:v>
                </c:pt>
                <c:pt idx="74">
                  <c:v>27338</c:v>
                </c:pt>
                <c:pt idx="75">
                  <c:v>15220</c:v>
                </c:pt>
                <c:pt idx="76">
                  <c:v>5727</c:v>
                </c:pt>
                <c:pt idx="77">
                  <c:v>213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Pred [W]</c:v>
                </c:pt>
              </c:strCache>
            </c:strRef>
          </c:tx>
          <c:spPr>
            <a:solidFill>
              <a:srgbClr val="9BBB59"/>
            </a:solidFill>
            <a:ln cap="rnd" w="2844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Data!$C$2:$C$97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150</c:v>
                </c:pt>
                <c:pt idx="22">
                  <c:v>800</c:v>
                </c:pt>
                <c:pt idx="23">
                  <c:v>2500</c:v>
                </c:pt>
                <c:pt idx="24">
                  <c:v>6500</c:v>
                </c:pt>
                <c:pt idx="25">
                  <c:v>14500</c:v>
                </c:pt>
                <c:pt idx="26">
                  <c:v>28000</c:v>
                </c:pt>
                <c:pt idx="27">
                  <c:v>48000</c:v>
                </c:pt>
                <c:pt idx="28">
                  <c:v>76000</c:v>
                </c:pt>
                <c:pt idx="29">
                  <c:v>112000</c:v>
                </c:pt>
                <c:pt idx="30">
                  <c:v>158000</c:v>
                </c:pt>
                <c:pt idx="31">
                  <c:v>208000</c:v>
                </c:pt>
                <c:pt idx="32">
                  <c:v>252000</c:v>
                </c:pt>
                <c:pt idx="33">
                  <c:v>289000</c:v>
                </c:pt>
                <c:pt idx="34">
                  <c:v>318000</c:v>
                </c:pt>
                <c:pt idx="35">
                  <c:v>338000</c:v>
                </c:pt>
                <c:pt idx="36">
                  <c:v>352000</c:v>
                </c:pt>
                <c:pt idx="37">
                  <c:v>364000</c:v>
                </c:pt>
                <c:pt idx="38">
                  <c:v>376000</c:v>
                </c:pt>
                <c:pt idx="39">
                  <c:v>389000</c:v>
                </c:pt>
                <c:pt idx="40">
                  <c:v>401000</c:v>
                </c:pt>
                <c:pt idx="41">
                  <c:v>412000</c:v>
                </c:pt>
                <c:pt idx="42">
                  <c:v>421000</c:v>
                </c:pt>
                <c:pt idx="43">
                  <c:v>429000</c:v>
                </c:pt>
                <c:pt idx="44">
                  <c:v>436000</c:v>
                </c:pt>
                <c:pt idx="45">
                  <c:v>442000</c:v>
                </c:pt>
                <c:pt idx="46">
                  <c:v>446000</c:v>
                </c:pt>
                <c:pt idx="47">
                  <c:v>449000</c:v>
                </c:pt>
                <c:pt idx="48">
                  <c:v>450000</c:v>
                </c:pt>
                <c:pt idx="49">
                  <c:v>449000</c:v>
                </c:pt>
                <c:pt idx="50">
                  <c:v>446000</c:v>
                </c:pt>
                <c:pt idx="51">
                  <c:v>442000</c:v>
                </c:pt>
                <c:pt idx="52">
                  <c:v>437000</c:v>
                </c:pt>
                <c:pt idx="53">
                  <c:v>431000</c:v>
                </c:pt>
                <c:pt idx="54">
                  <c:v>423000</c:v>
                </c:pt>
                <c:pt idx="55">
                  <c:v>414000</c:v>
                </c:pt>
                <c:pt idx="56">
                  <c:v>403000</c:v>
                </c:pt>
                <c:pt idx="57">
                  <c:v>391000</c:v>
                </c:pt>
                <c:pt idx="58">
                  <c:v>377000</c:v>
                </c:pt>
                <c:pt idx="59">
                  <c:v>362000</c:v>
                </c:pt>
                <c:pt idx="60">
                  <c:v>347000</c:v>
                </c:pt>
                <c:pt idx="61">
                  <c:v>332000</c:v>
                </c:pt>
                <c:pt idx="62">
                  <c:v>317000</c:v>
                </c:pt>
                <c:pt idx="63">
                  <c:v>301000</c:v>
                </c:pt>
                <c:pt idx="64">
                  <c:v>284000</c:v>
                </c:pt>
                <c:pt idx="65">
                  <c:v>266000</c:v>
                </c:pt>
                <c:pt idx="66">
                  <c:v>247000</c:v>
                </c:pt>
                <c:pt idx="67">
                  <c:v>227000</c:v>
                </c:pt>
                <c:pt idx="68">
                  <c:v>206000</c:v>
                </c:pt>
                <c:pt idx="69">
                  <c:v>184000</c:v>
                </c:pt>
                <c:pt idx="70">
                  <c:v>162000</c:v>
                </c:pt>
                <c:pt idx="71">
                  <c:v>140000</c:v>
                </c:pt>
                <c:pt idx="72">
                  <c:v>118000</c:v>
                </c:pt>
                <c:pt idx="73">
                  <c:v>96000</c:v>
                </c:pt>
                <c:pt idx="74">
                  <c:v>76000</c:v>
                </c:pt>
                <c:pt idx="75">
                  <c:v>58000</c:v>
                </c:pt>
                <c:pt idx="76">
                  <c:v>42000</c:v>
                </c:pt>
                <c:pt idx="77">
                  <c:v>29000</c:v>
                </c:pt>
                <c:pt idx="78">
                  <c:v>18000</c:v>
                </c:pt>
                <c:pt idx="79">
                  <c:v>9500</c:v>
                </c:pt>
                <c:pt idx="80">
                  <c:v>3900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460324"/>
        <c:axId val="25666317"/>
      </c:lineChart>
      <c:catAx>
        <c:axId val="654603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5666317"/>
        <c:crosses val="autoZero"/>
        <c:auto val="1"/>
        <c:lblAlgn val="ctr"/>
        <c:lblOffset val="100"/>
        <c:noMultiLvlLbl val="0"/>
      </c:catAx>
      <c:valAx>
        <c:axId val="25666317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54603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0649809426420006"/>
          <c:y val="0.0110428051001822"/>
          <c:w val="0.925103033683493"/>
          <c:h val="0.909836065573771"/>
        </c:manualLayout>
      </c:layout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Value [W]</c:v>
                </c:pt>
              </c:strCache>
            </c:strRef>
          </c:tx>
          <c:spPr>
            <a:solidFill>
              <a:srgbClr val="4F81BD"/>
            </a:solidFill>
            <a:ln cap="rnd" w="2844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Data!$B$2:$B$97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273</c:v>
                </c:pt>
                <c:pt idx="24">
                  <c:v>4953</c:v>
                </c:pt>
                <c:pt idx="25">
                  <c:v>13533</c:v>
                </c:pt>
                <c:pt idx="26">
                  <c:v>24407</c:v>
                </c:pt>
                <c:pt idx="27">
                  <c:v>44333</c:v>
                </c:pt>
                <c:pt idx="28">
                  <c:v>75547</c:v>
                </c:pt>
                <c:pt idx="29">
                  <c:v>117607</c:v>
                </c:pt>
                <c:pt idx="30">
                  <c:v>168853</c:v>
                </c:pt>
                <c:pt idx="31">
                  <c:v>223933</c:v>
                </c:pt>
                <c:pt idx="32">
                  <c:v>118967</c:v>
                </c:pt>
                <c:pt idx="33">
                  <c:v>249313</c:v>
                </c:pt>
                <c:pt idx="34">
                  <c:v>296247</c:v>
                </c:pt>
                <c:pt idx="35">
                  <c:v>285933</c:v>
                </c:pt>
                <c:pt idx="36">
                  <c:v>280493</c:v>
                </c:pt>
                <c:pt idx="37">
                  <c:v>283587</c:v>
                </c:pt>
                <c:pt idx="38">
                  <c:v>275713</c:v>
                </c:pt>
                <c:pt idx="39">
                  <c:v>83273</c:v>
                </c:pt>
                <c:pt idx="40">
                  <c:v>78727</c:v>
                </c:pt>
                <c:pt idx="41">
                  <c:v>82040</c:v>
                </c:pt>
                <c:pt idx="42">
                  <c:v>87193</c:v>
                </c:pt>
                <c:pt idx="43">
                  <c:v>83167</c:v>
                </c:pt>
                <c:pt idx="44">
                  <c:v>88787</c:v>
                </c:pt>
                <c:pt idx="45">
                  <c:v>87107</c:v>
                </c:pt>
                <c:pt idx="46">
                  <c:v>92307</c:v>
                </c:pt>
                <c:pt idx="47">
                  <c:v>84580</c:v>
                </c:pt>
                <c:pt idx="48">
                  <c:v>79340</c:v>
                </c:pt>
                <c:pt idx="49">
                  <c:v>73033</c:v>
                </c:pt>
                <c:pt idx="50">
                  <c:v>81607</c:v>
                </c:pt>
                <c:pt idx="51">
                  <c:v>76687</c:v>
                </c:pt>
                <c:pt idx="52">
                  <c:v>74300</c:v>
                </c:pt>
                <c:pt idx="53">
                  <c:v>71433</c:v>
                </c:pt>
                <c:pt idx="54">
                  <c:v>78873</c:v>
                </c:pt>
                <c:pt idx="55">
                  <c:v>81613</c:v>
                </c:pt>
                <c:pt idx="56">
                  <c:v>75660</c:v>
                </c:pt>
                <c:pt idx="57">
                  <c:v>72947</c:v>
                </c:pt>
                <c:pt idx="58">
                  <c:v>76787</c:v>
                </c:pt>
                <c:pt idx="59">
                  <c:v>82643</c:v>
                </c:pt>
                <c:pt idx="60">
                  <c:v>75863</c:v>
                </c:pt>
                <c:pt idx="61">
                  <c:v>76707</c:v>
                </c:pt>
                <c:pt idx="62">
                  <c:v>77440</c:v>
                </c:pt>
                <c:pt idx="63">
                  <c:v>76280</c:v>
                </c:pt>
                <c:pt idx="64">
                  <c:v>76647</c:v>
                </c:pt>
                <c:pt idx="65">
                  <c:v>75767</c:v>
                </c:pt>
                <c:pt idx="66">
                  <c:v>82600</c:v>
                </c:pt>
                <c:pt idx="67">
                  <c:v>74825</c:v>
                </c:pt>
                <c:pt idx="68">
                  <c:v>78347</c:v>
                </c:pt>
                <c:pt idx="69">
                  <c:v>75113</c:v>
                </c:pt>
                <c:pt idx="70">
                  <c:v>80287</c:v>
                </c:pt>
                <c:pt idx="71">
                  <c:v>74713</c:v>
                </c:pt>
                <c:pt idx="72">
                  <c:v>79453</c:v>
                </c:pt>
                <c:pt idx="73">
                  <c:v>51529</c:v>
                </c:pt>
                <c:pt idx="74">
                  <c:v>27338</c:v>
                </c:pt>
                <c:pt idx="75">
                  <c:v>15220</c:v>
                </c:pt>
                <c:pt idx="76">
                  <c:v>5727</c:v>
                </c:pt>
                <c:pt idx="77">
                  <c:v>213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Pred [W]</c:v>
                </c:pt>
              </c:strCache>
            </c:strRef>
          </c:tx>
          <c:spPr>
            <a:solidFill>
              <a:srgbClr val="C0504D"/>
            </a:solidFill>
            <a:ln cap="rnd" w="2844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Data!$C$2:$C$97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150</c:v>
                </c:pt>
                <c:pt idx="22">
                  <c:v>800</c:v>
                </c:pt>
                <c:pt idx="23">
                  <c:v>2500</c:v>
                </c:pt>
                <c:pt idx="24">
                  <c:v>6500</c:v>
                </c:pt>
                <c:pt idx="25">
                  <c:v>14500</c:v>
                </c:pt>
                <c:pt idx="26">
                  <c:v>28000</c:v>
                </c:pt>
                <c:pt idx="27">
                  <c:v>48000</c:v>
                </c:pt>
                <c:pt idx="28">
                  <c:v>76000</c:v>
                </c:pt>
                <c:pt idx="29">
                  <c:v>112000</c:v>
                </c:pt>
                <c:pt idx="30">
                  <c:v>158000</c:v>
                </c:pt>
                <c:pt idx="31">
                  <c:v>208000</c:v>
                </c:pt>
                <c:pt idx="32">
                  <c:v>252000</c:v>
                </c:pt>
                <c:pt idx="33">
                  <c:v>289000</c:v>
                </c:pt>
                <c:pt idx="34">
                  <c:v>318000</c:v>
                </c:pt>
                <c:pt idx="35">
                  <c:v>338000</c:v>
                </c:pt>
                <c:pt idx="36">
                  <c:v>352000</c:v>
                </c:pt>
                <c:pt idx="37">
                  <c:v>364000</c:v>
                </c:pt>
                <c:pt idx="38">
                  <c:v>376000</c:v>
                </c:pt>
                <c:pt idx="39">
                  <c:v>389000</c:v>
                </c:pt>
                <c:pt idx="40">
                  <c:v>401000</c:v>
                </c:pt>
                <c:pt idx="41">
                  <c:v>412000</c:v>
                </c:pt>
                <c:pt idx="42">
                  <c:v>421000</c:v>
                </c:pt>
                <c:pt idx="43">
                  <c:v>429000</c:v>
                </c:pt>
                <c:pt idx="44">
                  <c:v>436000</c:v>
                </c:pt>
                <c:pt idx="45">
                  <c:v>442000</c:v>
                </c:pt>
                <c:pt idx="46">
                  <c:v>446000</c:v>
                </c:pt>
                <c:pt idx="47">
                  <c:v>449000</c:v>
                </c:pt>
                <c:pt idx="48">
                  <c:v>450000</c:v>
                </c:pt>
                <c:pt idx="49">
                  <c:v>449000</c:v>
                </c:pt>
                <c:pt idx="50">
                  <c:v>446000</c:v>
                </c:pt>
                <c:pt idx="51">
                  <c:v>442000</c:v>
                </c:pt>
                <c:pt idx="52">
                  <c:v>437000</c:v>
                </c:pt>
                <c:pt idx="53">
                  <c:v>431000</c:v>
                </c:pt>
                <c:pt idx="54">
                  <c:v>423000</c:v>
                </c:pt>
                <c:pt idx="55">
                  <c:v>414000</c:v>
                </c:pt>
                <c:pt idx="56">
                  <c:v>403000</c:v>
                </c:pt>
                <c:pt idx="57">
                  <c:v>391000</c:v>
                </c:pt>
                <c:pt idx="58">
                  <c:v>377000</c:v>
                </c:pt>
                <c:pt idx="59">
                  <c:v>362000</c:v>
                </c:pt>
                <c:pt idx="60">
                  <c:v>347000</c:v>
                </c:pt>
                <c:pt idx="61">
                  <c:v>332000</c:v>
                </c:pt>
                <c:pt idx="62">
                  <c:v>317000</c:v>
                </c:pt>
                <c:pt idx="63">
                  <c:v>301000</c:v>
                </c:pt>
                <c:pt idx="64">
                  <c:v>284000</c:v>
                </c:pt>
                <c:pt idx="65">
                  <c:v>266000</c:v>
                </c:pt>
                <c:pt idx="66">
                  <c:v>247000</c:v>
                </c:pt>
                <c:pt idx="67">
                  <c:v>227000</c:v>
                </c:pt>
                <c:pt idx="68">
                  <c:v>206000</c:v>
                </c:pt>
                <c:pt idx="69">
                  <c:v>184000</c:v>
                </c:pt>
                <c:pt idx="70">
                  <c:v>162000</c:v>
                </c:pt>
                <c:pt idx="71">
                  <c:v>140000</c:v>
                </c:pt>
                <c:pt idx="72">
                  <c:v>118000</c:v>
                </c:pt>
                <c:pt idx="73">
                  <c:v>96000</c:v>
                </c:pt>
                <c:pt idx="74">
                  <c:v>76000</c:v>
                </c:pt>
                <c:pt idx="75">
                  <c:v>58000</c:v>
                </c:pt>
                <c:pt idx="76">
                  <c:v>42000</c:v>
                </c:pt>
                <c:pt idx="77">
                  <c:v>29000</c:v>
                </c:pt>
                <c:pt idx="78">
                  <c:v>18000</c:v>
                </c:pt>
                <c:pt idx="79">
                  <c:v>9500</c:v>
                </c:pt>
                <c:pt idx="80">
                  <c:v>3900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Data!$D$1</c:f>
              <c:strCache>
                <c:ptCount val="1"/>
                <c:pt idx="0">
                  <c:v>Moc [W]</c:v>
                </c:pt>
              </c:strCache>
            </c:strRef>
          </c:tx>
          <c:spPr>
            <a:solidFill>
              <a:srgbClr val="9BBB59"/>
            </a:solidFill>
            <a:ln cap="rnd" w="2844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Data!$D$2:$D$97</c:f>
              <c:numCache>
                <c:formatCode>General</c:formatCode>
                <c:ptCount val="96"/>
                <c:pt idx="0">
                  <c:v>30131</c:v>
                </c:pt>
                <c:pt idx="1">
                  <c:v>30357</c:v>
                </c:pt>
                <c:pt idx="2">
                  <c:v>30577</c:v>
                </c:pt>
                <c:pt idx="3">
                  <c:v>62188</c:v>
                </c:pt>
                <c:pt idx="4">
                  <c:v>92040</c:v>
                </c:pt>
                <c:pt idx="5">
                  <c:v>86533</c:v>
                </c:pt>
                <c:pt idx="6">
                  <c:v>80330</c:v>
                </c:pt>
                <c:pt idx="7">
                  <c:v>82503</c:v>
                </c:pt>
                <c:pt idx="8">
                  <c:v>92817</c:v>
                </c:pt>
                <c:pt idx="9">
                  <c:v>86536</c:v>
                </c:pt>
                <c:pt idx="10">
                  <c:v>80551</c:v>
                </c:pt>
                <c:pt idx="11">
                  <c:v>83917</c:v>
                </c:pt>
                <c:pt idx="12">
                  <c:v>90435</c:v>
                </c:pt>
                <c:pt idx="13">
                  <c:v>86265</c:v>
                </c:pt>
                <c:pt idx="14">
                  <c:v>81393</c:v>
                </c:pt>
                <c:pt idx="15">
                  <c:v>84344</c:v>
                </c:pt>
                <c:pt idx="16">
                  <c:v>88341</c:v>
                </c:pt>
                <c:pt idx="17">
                  <c:v>85646</c:v>
                </c:pt>
                <c:pt idx="18">
                  <c:v>81528</c:v>
                </c:pt>
                <c:pt idx="19">
                  <c:v>87960</c:v>
                </c:pt>
                <c:pt idx="20">
                  <c:v>87409</c:v>
                </c:pt>
                <c:pt idx="21">
                  <c:v>94307</c:v>
                </c:pt>
                <c:pt idx="22">
                  <c:v>87494</c:v>
                </c:pt>
                <c:pt idx="23">
                  <c:v>88696</c:v>
                </c:pt>
                <c:pt idx="24">
                  <c:v>84042</c:v>
                </c:pt>
                <c:pt idx="25">
                  <c:v>85069</c:v>
                </c:pt>
                <c:pt idx="26">
                  <c:v>63901</c:v>
                </c:pt>
                <c:pt idx="27">
                  <c:v>41424</c:v>
                </c:pt>
                <c:pt idx="28">
                  <c:v>14211</c:v>
                </c:pt>
                <c:pt idx="29">
                  <c:v>-509</c:v>
                </c:pt>
                <c:pt idx="30">
                  <c:v>-159</c:v>
                </c:pt>
                <c:pt idx="31">
                  <c:v>-342</c:v>
                </c:pt>
                <c:pt idx="32">
                  <c:v>9793</c:v>
                </c:pt>
                <c:pt idx="33">
                  <c:v>-5397</c:v>
                </c:pt>
                <c:pt idx="34">
                  <c:v>-8120</c:v>
                </c:pt>
                <c:pt idx="35">
                  <c:v>5785</c:v>
                </c:pt>
                <c:pt idx="36">
                  <c:v>10362</c:v>
                </c:pt>
                <c:pt idx="37">
                  <c:v>1417</c:v>
                </c:pt>
                <c:pt idx="38">
                  <c:v>-4892</c:v>
                </c:pt>
                <c:pt idx="39">
                  <c:v>1376</c:v>
                </c:pt>
                <c:pt idx="40">
                  <c:v>1884</c:v>
                </c:pt>
                <c:pt idx="41">
                  <c:v>767</c:v>
                </c:pt>
                <c:pt idx="42">
                  <c:v>-315</c:v>
                </c:pt>
                <c:pt idx="43">
                  <c:v>658</c:v>
                </c:pt>
                <c:pt idx="44">
                  <c:v>-1235</c:v>
                </c:pt>
                <c:pt idx="45">
                  <c:v>-707</c:v>
                </c:pt>
                <c:pt idx="46">
                  <c:v>-420</c:v>
                </c:pt>
                <c:pt idx="47">
                  <c:v>-354</c:v>
                </c:pt>
                <c:pt idx="48">
                  <c:v>1027</c:v>
                </c:pt>
                <c:pt idx="49">
                  <c:v>235</c:v>
                </c:pt>
                <c:pt idx="50">
                  <c:v>643</c:v>
                </c:pt>
                <c:pt idx="51">
                  <c:v>178</c:v>
                </c:pt>
                <c:pt idx="52">
                  <c:v>259</c:v>
                </c:pt>
                <c:pt idx="53">
                  <c:v>242</c:v>
                </c:pt>
                <c:pt idx="54">
                  <c:v>-564</c:v>
                </c:pt>
                <c:pt idx="55">
                  <c:v>971</c:v>
                </c:pt>
                <c:pt idx="56">
                  <c:v>2541</c:v>
                </c:pt>
                <c:pt idx="57">
                  <c:v>180</c:v>
                </c:pt>
                <c:pt idx="58">
                  <c:v>816</c:v>
                </c:pt>
                <c:pt idx="59">
                  <c:v>-209</c:v>
                </c:pt>
                <c:pt idx="60">
                  <c:v>1865</c:v>
                </c:pt>
                <c:pt idx="61">
                  <c:v>1160</c:v>
                </c:pt>
                <c:pt idx="62">
                  <c:v>333</c:v>
                </c:pt>
                <c:pt idx="63">
                  <c:v>345</c:v>
                </c:pt>
                <c:pt idx="64">
                  <c:v>-242</c:v>
                </c:pt>
                <c:pt idx="65">
                  <c:v>-1495</c:v>
                </c:pt>
                <c:pt idx="66">
                  <c:v>-1691</c:v>
                </c:pt>
                <c:pt idx="67">
                  <c:v>-99</c:v>
                </c:pt>
                <c:pt idx="68">
                  <c:v>460</c:v>
                </c:pt>
                <c:pt idx="69">
                  <c:v>-1522</c:v>
                </c:pt>
                <c:pt idx="70">
                  <c:v>-1469</c:v>
                </c:pt>
                <c:pt idx="71">
                  <c:v>551</c:v>
                </c:pt>
                <c:pt idx="72">
                  <c:v>440</c:v>
                </c:pt>
                <c:pt idx="73">
                  <c:v>22809</c:v>
                </c:pt>
                <c:pt idx="74">
                  <c:v>30290</c:v>
                </c:pt>
                <c:pt idx="75">
                  <c:v>30188</c:v>
                </c:pt>
                <c:pt idx="76">
                  <c:v>29794</c:v>
                </c:pt>
                <c:pt idx="77">
                  <c:v>29987</c:v>
                </c:pt>
                <c:pt idx="78">
                  <c:v>30027</c:v>
                </c:pt>
                <c:pt idx="79">
                  <c:v>30268</c:v>
                </c:pt>
                <c:pt idx="80">
                  <c:v>29962</c:v>
                </c:pt>
                <c:pt idx="81">
                  <c:v>29358</c:v>
                </c:pt>
                <c:pt idx="82">
                  <c:v>29960</c:v>
                </c:pt>
                <c:pt idx="83">
                  <c:v>29515</c:v>
                </c:pt>
                <c:pt idx="84">
                  <c:v>29616</c:v>
                </c:pt>
                <c:pt idx="85">
                  <c:v>30077</c:v>
                </c:pt>
                <c:pt idx="86">
                  <c:v>29933</c:v>
                </c:pt>
                <c:pt idx="87">
                  <c:v>29806</c:v>
                </c:pt>
                <c:pt idx="88">
                  <c:v>30535</c:v>
                </c:pt>
                <c:pt idx="89">
                  <c:v>29887</c:v>
                </c:pt>
                <c:pt idx="90">
                  <c:v>29376</c:v>
                </c:pt>
                <c:pt idx="91">
                  <c:v>29817</c:v>
                </c:pt>
                <c:pt idx="92">
                  <c:v>30173</c:v>
                </c:pt>
                <c:pt idx="93">
                  <c:v>29799</c:v>
                </c:pt>
                <c:pt idx="94">
                  <c:v>29885</c:v>
                </c:pt>
                <c:pt idx="95">
                  <c:v>30218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Data!$E$1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064A2"/>
            </a:solidFill>
            <a:ln cap="rnd" w="28440">
              <a:solidFill>
                <a:srgbClr val="8064A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Data!$E$2:$E$97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150</c:v>
                </c:pt>
                <c:pt idx="22">
                  <c:v>800</c:v>
                </c:pt>
                <c:pt idx="23">
                  <c:v>2227</c:v>
                </c:pt>
                <c:pt idx="24">
                  <c:v>1547</c:v>
                </c:pt>
                <c:pt idx="25">
                  <c:v>967</c:v>
                </c:pt>
                <c:pt idx="26">
                  <c:v>3593</c:v>
                </c:pt>
                <c:pt idx="27">
                  <c:v>3667</c:v>
                </c:pt>
                <c:pt idx="28">
                  <c:v>453</c:v>
                </c:pt>
                <c:pt idx="29">
                  <c:v>-5607</c:v>
                </c:pt>
                <c:pt idx="30">
                  <c:v>-10853</c:v>
                </c:pt>
                <c:pt idx="31">
                  <c:v>-15933</c:v>
                </c:pt>
                <c:pt idx="32">
                  <c:v>133033</c:v>
                </c:pt>
                <c:pt idx="33">
                  <c:v>39687</c:v>
                </c:pt>
                <c:pt idx="34">
                  <c:v>21753</c:v>
                </c:pt>
                <c:pt idx="35">
                  <c:v>52067</c:v>
                </c:pt>
                <c:pt idx="36">
                  <c:v>71507</c:v>
                </c:pt>
                <c:pt idx="37">
                  <c:v>80413</c:v>
                </c:pt>
                <c:pt idx="38">
                  <c:v>100287</c:v>
                </c:pt>
                <c:pt idx="39">
                  <c:v>305727</c:v>
                </c:pt>
                <c:pt idx="40">
                  <c:v>322273</c:v>
                </c:pt>
                <c:pt idx="41">
                  <c:v>329960</c:v>
                </c:pt>
                <c:pt idx="42">
                  <c:v>333807</c:v>
                </c:pt>
                <c:pt idx="43">
                  <c:v>345833</c:v>
                </c:pt>
                <c:pt idx="44">
                  <c:v>347213</c:v>
                </c:pt>
                <c:pt idx="45">
                  <c:v>354893</c:v>
                </c:pt>
                <c:pt idx="46">
                  <c:v>353693</c:v>
                </c:pt>
                <c:pt idx="47">
                  <c:v>364420</c:v>
                </c:pt>
                <c:pt idx="48">
                  <c:v>370660</c:v>
                </c:pt>
                <c:pt idx="49">
                  <c:v>375967</c:v>
                </c:pt>
                <c:pt idx="50">
                  <c:v>364393</c:v>
                </c:pt>
                <c:pt idx="51">
                  <c:v>365313</c:v>
                </c:pt>
                <c:pt idx="52">
                  <c:v>362700</c:v>
                </c:pt>
                <c:pt idx="53">
                  <c:v>359567</c:v>
                </c:pt>
                <c:pt idx="54">
                  <c:v>344127</c:v>
                </c:pt>
                <c:pt idx="55">
                  <c:v>332387</c:v>
                </c:pt>
                <c:pt idx="56">
                  <c:v>327340</c:v>
                </c:pt>
                <c:pt idx="57">
                  <c:v>318053</c:v>
                </c:pt>
                <c:pt idx="58">
                  <c:v>300213</c:v>
                </c:pt>
                <c:pt idx="59">
                  <c:v>279357</c:v>
                </c:pt>
                <c:pt idx="60">
                  <c:v>271137</c:v>
                </c:pt>
                <c:pt idx="61">
                  <c:v>255293</c:v>
                </c:pt>
                <c:pt idx="62">
                  <c:v>239560</c:v>
                </c:pt>
                <c:pt idx="63">
                  <c:v>224720</c:v>
                </c:pt>
                <c:pt idx="64">
                  <c:v>207353</c:v>
                </c:pt>
                <c:pt idx="65">
                  <c:v>190233</c:v>
                </c:pt>
                <c:pt idx="66">
                  <c:v>164400</c:v>
                </c:pt>
                <c:pt idx="67">
                  <c:v>152175</c:v>
                </c:pt>
                <c:pt idx="68">
                  <c:v>127653</c:v>
                </c:pt>
                <c:pt idx="69">
                  <c:v>108887</c:v>
                </c:pt>
                <c:pt idx="70">
                  <c:v>81713</c:v>
                </c:pt>
                <c:pt idx="71">
                  <c:v>65287</c:v>
                </c:pt>
                <c:pt idx="72">
                  <c:v>38547</c:v>
                </c:pt>
                <c:pt idx="73">
                  <c:v>44471</c:v>
                </c:pt>
                <c:pt idx="74">
                  <c:v>48662</c:v>
                </c:pt>
                <c:pt idx="75">
                  <c:v>42780</c:v>
                </c:pt>
                <c:pt idx="76">
                  <c:v>36273</c:v>
                </c:pt>
                <c:pt idx="77">
                  <c:v>28787</c:v>
                </c:pt>
                <c:pt idx="78">
                  <c:v>18000</c:v>
                </c:pt>
                <c:pt idx="79">
                  <c:v>9500</c:v>
                </c:pt>
                <c:pt idx="80">
                  <c:v>3900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Data!$F$1</c:f>
              <c:strCache>
                <c:ptCount val="1"/>
                <c:pt idx="0">
                  <c:v>Moc Pred [W]</c:v>
                </c:pt>
              </c:strCache>
            </c:strRef>
          </c:tx>
          <c:spPr>
            <a:solidFill>
              <a:srgbClr val="4BACC6"/>
            </a:solidFill>
            <a:ln cap="rnd" w="28440">
              <a:solidFill>
                <a:srgbClr val="4BACC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Data!$F$2:$F$97</c:f>
              <c:numCache>
                <c:formatCode>General</c:formatCode>
                <c:ptCount val="96"/>
                <c:pt idx="0">
                  <c:v>30131</c:v>
                </c:pt>
                <c:pt idx="1">
                  <c:v>30357</c:v>
                </c:pt>
                <c:pt idx="2">
                  <c:v>30577</c:v>
                </c:pt>
                <c:pt idx="3">
                  <c:v>62188</c:v>
                </c:pt>
                <c:pt idx="4">
                  <c:v>92040</c:v>
                </c:pt>
                <c:pt idx="5">
                  <c:v>86533</c:v>
                </c:pt>
                <c:pt idx="6">
                  <c:v>80330</c:v>
                </c:pt>
                <c:pt idx="7">
                  <c:v>82503</c:v>
                </c:pt>
                <c:pt idx="8">
                  <c:v>92817</c:v>
                </c:pt>
                <c:pt idx="9">
                  <c:v>86536</c:v>
                </c:pt>
                <c:pt idx="10">
                  <c:v>80551</c:v>
                </c:pt>
                <c:pt idx="11">
                  <c:v>83917</c:v>
                </c:pt>
                <c:pt idx="12">
                  <c:v>90435</c:v>
                </c:pt>
                <c:pt idx="13">
                  <c:v>86265</c:v>
                </c:pt>
                <c:pt idx="14">
                  <c:v>81393</c:v>
                </c:pt>
                <c:pt idx="15">
                  <c:v>84344</c:v>
                </c:pt>
                <c:pt idx="16">
                  <c:v>88341</c:v>
                </c:pt>
                <c:pt idx="17">
                  <c:v>85646</c:v>
                </c:pt>
                <c:pt idx="18">
                  <c:v>81528</c:v>
                </c:pt>
                <c:pt idx="19">
                  <c:v>87960</c:v>
                </c:pt>
                <c:pt idx="20">
                  <c:v>87409</c:v>
                </c:pt>
                <c:pt idx="21">
                  <c:v>94157</c:v>
                </c:pt>
                <c:pt idx="22">
                  <c:v>86694</c:v>
                </c:pt>
                <c:pt idx="23">
                  <c:v>86469</c:v>
                </c:pt>
                <c:pt idx="24">
                  <c:v>82495</c:v>
                </c:pt>
                <c:pt idx="25">
                  <c:v>84102</c:v>
                </c:pt>
                <c:pt idx="26">
                  <c:v>60308</c:v>
                </c:pt>
                <c:pt idx="27">
                  <c:v>37757</c:v>
                </c:pt>
                <c:pt idx="28">
                  <c:v>13758</c:v>
                </c:pt>
                <c:pt idx="29">
                  <c:v>5098</c:v>
                </c:pt>
                <c:pt idx="30">
                  <c:v>10694</c:v>
                </c:pt>
                <c:pt idx="31">
                  <c:v>15591</c:v>
                </c:pt>
                <c:pt idx="32">
                  <c:v>-123240</c:v>
                </c:pt>
                <c:pt idx="33">
                  <c:v>-45084</c:v>
                </c:pt>
                <c:pt idx="34">
                  <c:v>-29873</c:v>
                </c:pt>
                <c:pt idx="35">
                  <c:v>-46282</c:v>
                </c:pt>
                <c:pt idx="36">
                  <c:v>-61145</c:v>
                </c:pt>
                <c:pt idx="37">
                  <c:v>-78996</c:v>
                </c:pt>
                <c:pt idx="38">
                  <c:v>-105179</c:v>
                </c:pt>
                <c:pt idx="39">
                  <c:v>-304351</c:v>
                </c:pt>
                <c:pt idx="40">
                  <c:v>-320389</c:v>
                </c:pt>
                <c:pt idx="41">
                  <c:v>-329193</c:v>
                </c:pt>
                <c:pt idx="42">
                  <c:v>-334122</c:v>
                </c:pt>
                <c:pt idx="43">
                  <c:v>-345175</c:v>
                </c:pt>
                <c:pt idx="44">
                  <c:v>-348448</c:v>
                </c:pt>
                <c:pt idx="45">
                  <c:v>-355600</c:v>
                </c:pt>
                <c:pt idx="46">
                  <c:v>-354113</c:v>
                </c:pt>
                <c:pt idx="47">
                  <c:v>-364774</c:v>
                </c:pt>
                <c:pt idx="48">
                  <c:v>-369633</c:v>
                </c:pt>
                <c:pt idx="49">
                  <c:v>-375732</c:v>
                </c:pt>
                <c:pt idx="50">
                  <c:v>-363750</c:v>
                </c:pt>
                <c:pt idx="51">
                  <c:v>-365135</c:v>
                </c:pt>
                <c:pt idx="52">
                  <c:v>-362441</c:v>
                </c:pt>
                <c:pt idx="53">
                  <c:v>-359325</c:v>
                </c:pt>
                <c:pt idx="54">
                  <c:v>-344691</c:v>
                </c:pt>
                <c:pt idx="55">
                  <c:v>-331416</c:v>
                </c:pt>
                <c:pt idx="56">
                  <c:v>-324799</c:v>
                </c:pt>
                <c:pt idx="57">
                  <c:v>-317873</c:v>
                </c:pt>
                <c:pt idx="58">
                  <c:v>-299397</c:v>
                </c:pt>
                <c:pt idx="59">
                  <c:v>-279566</c:v>
                </c:pt>
                <c:pt idx="60">
                  <c:v>-269272</c:v>
                </c:pt>
                <c:pt idx="61">
                  <c:v>-254133</c:v>
                </c:pt>
                <c:pt idx="62">
                  <c:v>-239227</c:v>
                </c:pt>
                <c:pt idx="63">
                  <c:v>-224375</c:v>
                </c:pt>
                <c:pt idx="64">
                  <c:v>-207595</c:v>
                </c:pt>
                <c:pt idx="65">
                  <c:v>-191728</c:v>
                </c:pt>
                <c:pt idx="66">
                  <c:v>-166091</c:v>
                </c:pt>
                <c:pt idx="67">
                  <c:v>-152274</c:v>
                </c:pt>
                <c:pt idx="68">
                  <c:v>-127193</c:v>
                </c:pt>
                <c:pt idx="69">
                  <c:v>-110409</c:v>
                </c:pt>
                <c:pt idx="70">
                  <c:v>-83182</c:v>
                </c:pt>
                <c:pt idx="71">
                  <c:v>-64736</c:v>
                </c:pt>
                <c:pt idx="72">
                  <c:v>-38107</c:v>
                </c:pt>
                <c:pt idx="73">
                  <c:v>-21662</c:v>
                </c:pt>
                <c:pt idx="74">
                  <c:v>-18372</c:v>
                </c:pt>
                <c:pt idx="75">
                  <c:v>-12592</c:v>
                </c:pt>
                <c:pt idx="76">
                  <c:v>-6479</c:v>
                </c:pt>
                <c:pt idx="77">
                  <c:v>1200</c:v>
                </c:pt>
                <c:pt idx="78">
                  <c:v>12027</c:v>
                </c:pt>
                <c:pt idx="79">
                  <c:v>20768</c:v>
                </c:pt>
                <c:pt idx="80">
                  <c:v>26062</c:v>
                </c:pt>
                <c:pt idx="81">
                  <c:v>29358</c:v>
                </c:pt>
                <c:pt idx="82">
                  <c:v>29960</c:v>
                </c:pt>
                <c:pt idx="83">
                  <c:v>29515</c:v>
                </c:pt>
                <c:pt idx="84">
                  <c:v>29616</c:v>
                </c:pt>
                <c:pt idx="85">
                  <c:v>30077</c:v>
                </c:pt>
                <c:pt idx="86">
                  <c:v>29933</c:v>
                </c:pt>
                <c:pt idx="87">
                  <c:v>29806</c:v>
                </c:pt>
                <c:pt idx="88">
                  <c:v>30535</c:v>
                </c:pt>
                <c:pt idx="89">
                  <c:v>29887</c:v>
                </c:pt>
                <c:pt idx="90">
                  <c:v>29376</c:v>
                </c:pt>
                <c:pt idx="91">
                  <c:v>29817</c:v>
                </c:pt>
                <c:pt idx="92">
                  <c:v>30173</c:v>
                </c:pt>
                <c:pt idx="93">
                  <c:v>29799</c:v>
                </c:pt>
                <c:pt idx="94">
                  <c:v>29885</c:v>
                </c:pt>
                <c:pt idx="95">
                  <c:v>30218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156583"/>
        <c:axId val="65268360"/>
      </c:lineChart>
      <c:catAx>
        <c:axId val="761565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5268360"/>
        <c:crosses val="autoZero"/>
        <c:auto val="1"/>
        <c:lblAlgn val="ctr"/>
        <c:lblOffset val="100"/>
        <c:noMultiLvlLbl val="0"/>
      </c:catAx>
      <c:valAx>
        <c:axId val="6526836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61565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Data!$H$1</c:f>
              <c:strCache>
                <c:ptCount val="1"/>
                <c:pt idx="0">
                  <c:v>Wynik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Data!$H$2:$H$98</c:f>
              <c:numCache>
                <c:formatCode>General</c:formatCode>
                <c:ptCount val="97"/>
                <c:pt idx="0">
                  <c:v>476.10746375</c:v>
                </c:pt>
                <c:pt idx="1">
                  <c:v>464.674599</c:v>
                </c:pt>
                <c:pt idx="2">
                  <c:v>432.4963765</c:v>
                </c:pt>
                <c:pt idx="3">
                  <c:v>982.601494</c:v>
                </c:pt>
                <c:pt idx="4">
                  <c:v>1459.93848</c:v>
                </c:pt>
                <c:pt idx="5">
                  <c:v>1349.37396875</c:v>
                </c:pt>
                <c:pt idx="6">
                  <c:v>1252.6861025</c:v>
                </c:pt>
                <c:pt idx="7">
                  <c:v>1286.4280275</c:v>
                </c:pt>
                <c:pt idx="8">
                  <c:v>1418.8470705</c:v>
                </c:pt>
                <c:pt idx="9">
                  <c:v>1319.479294</c:v>
                </c:pt>
                <c:pt idx="10">
                  <c:v>1237.2230845</c:v>
                </c:pt>
                <c:pt idx="11">
                  <c:v>1224.95742825</c:v>
                </c:pt>
                <c:pt idx="12">
                  <c:v>1286.09874375</c:v>
                </c:pt>
                <c:pt idx="13">
                  <c:v>1198.1777175</c:v>
                </c:pt>
                <c:pt idx="14">
                  <c:v>1057.84447275</c:v>
                </c:pt>
                <c:pt idx="15">
                  <c:v>1127.341904</c:v>
                </c:pt>
                <c:pt idx="16">
                  <c:v>1113.2291115</c:v>
                </c:pt>
                <c:pt idx="17">
                  <c:v>1101.707321</c:v>
                </c:pt>
                <c:pt idx="18">
                  <c:v>989.118078</c:v>
                </c:pt>
                <c:pt idx="19">
                  <c:v>1018.55481</c:v>
                </c:pt>
                <c:pt idx="20">
                  <c:v>2262.07936325</c:v>
                </c:pt>
                <c:pt idx="21">
                  <c:v>947.5495825</c:v>
                </c:pt>
                <c:pt idx="22">
                  <c:v>769.334742</c:v>
                </c:pt>
                <c:pt idx="23">
                  <c:v>561.733942</c:v>
                </c:pt>
                <c:pt idx="24">
                  <c:v>858.825198</c:v>
                </c:pt>
                <c:pt idx="25">
                  <c:v>899.7322785</c:v>
                </c:pt>
                <c:pt idx="26">
                  <c:v>611.8201245</c:v>
                </c:pt>
                <c:pt idx="27">
                  <c:v>385.315692</c:v>
                </c:pt>
                <c:pt idx="28">
                  <c:v>260.19275175</c:v>
                </c:pt>
                <c:pt idx="29">
                  <c:v>-5.24791725</c:v>
                </c:pt>
                <c:pt idx="30">
                  <c:v>-1.622118</c:v>
                </c:pt>
                <c:pt idx="31">
                  <c:v>-2.223171</c:v>
                </c:pt>
                <c:pt idx="32">
                  <c:v>-1.09926425</c:v>
                </c:pt>
                <c:pt idx="33">
                  <c:v>4.215057</c:v>
                </c:pt>
                <c:pt idx="34">
                  <c:v>158.43744</c:v>
                </c:pt>
                <c:pt idx="35">
                  <c:v>-5.698225</c:v>
                </c:pt>
                <c:pt idx="36">
                  <c:v>-27.070725</c:v>
                </c:pt>
                <c:pt idx="37">
                  <c:v>-8.33089725</c:v>
                </c:pt>
                <c:pt idx="38">
                  <c:v>12.65805</c:v>
                </c:pt>
                <c:pt idx="39">
                  <c:v>-21.832304</c:v>
                </c:pt>
                <c:pt idx="40">
                  <c:v>-29.886834</c:v>
                </c:pt>
                <c:pt idx="41">
                  <c:v>-10.94336425</c:v>
                </c:pt>
                <c:pt idx="42">
                  <c:v>4.44630375</c:v>
                </c:pt>
                <c:pt idx="43">
                  <c:v>-24.9403385</c:v>
                </c:pt>
                <c:pt idx="44">
                  <c:v>46.65243375</c:v>
                </c:pt>
                <c:pt idx="45">
                  <c:v>26.8515065</c:v>
                </c:pt>
                <c:pt idx="46">
                  <c:v>16.05975</c:v>
                </c:pt>
                <c:pt idx="47">
                  <c:v>13.6250175</c:v>
                </c:pt>
                <c:pt idx="48">
                  <c:v>-40.99604275</c:v>
                </c:pt>
                <c:pt idx="49">
                  <c:v>-9.4186825</c:v>
                </c:pt>
                <c:pt idx="50">
                  <c:v>-26.0283185</c:v>
                </c:pt>
                <c:pt idx="51">
                  <c:v>-7.134151</c:v>
                </c:pt>
                <c:pt idx="52">
                  <c:v>-7.6351905</c:v>
                </c:pt>
                <c:pt idx="53">
                  <c:v>-7.134039</c:v>
                </c:pt>
                <c:pt idx="54">
                  <c:v>16.471338</c:v>
                </c:pt>
                <c:pt idx="55">
                  <c:v>-28.3575695</c:v>
                </c:pt>
                <c:pt idx="56">
                  <c:v>-91.79807175</c:v>
                </c:pt>
                <c:pt idx="57">
                  <c:v>-6.50331</c:v>
                </c:pt>
                <c:pt idx="58">
                  <c:v>-29.481672</c:v>
                </c:pt>
                <c:pt idx="59">
                  <c:v>7.55059525</c:v>
                </c:pt>
                <c:pt idx="60">
                  <c:v>-77.9653925</c:v>
                </c:pt>
                <c:pt idx="61">
                  <c:v>-48.49322</c:v>
                </c:pt>
                <c:pt idx="62">
                  <c:v>-13.9208985</c:v>
                </c:pt>
                <c:pt idx="63">
                  <c:v>-14.4225525</c:v>
                </c:pt>
                <c:pt idx="64">
                  <c:v>13.474439</c:v>
                </c:pt>
                <c:pt idx="65">
                  <c:v>83.2408525</c:v>
                </c:pt>
                <c:pt idx="66">
                  <c:v>32.490874</c:v>
                </c:pt>
                <c:pt idx="67">
                  <c:v>1.902186</c:v>
                </c:pt>
                <c:pt idx="68">
                  <c:v>-33.23707</c:v>
                </c:pt>
                <c:pt idx="69">
                  <c:v>109.971349</c:v>
                </c:pt>
                <c:pt idx="70">
                  <c:v>0.62983375</c:v>
                </c:pt>
                <c:pt idx="71">
                  <c:v>-0.4636665</c:v>
                </c:pt>
                <c:pt idx="72">
                  <c:v>6.43313</c:v>
                </c:pt>
                <c:pt idx="73">
                  <c:v>278.80010925</c:v>
                </c:pt>
                <c:pt idx="74">
                  <c:v>409.899425</c:v>
                </c:pt>
                <c:pt idx="75">
                  <c:v>440.767441</c:v>
                </c:pt>
                <c:pt idx="76">
                  <c:v>464.6150845</c:v>
                </c:pt>
                <c:pt idx="77">
                  <c:v>409.80983875</c:v>
                </c:pt>
                <c:pt idx="78">
                  <c:v>387.378327</c:v>
                </c:pt>
                <c:pt idx="79">
                  <c:v>451.90124</c:v>
                </c:pt>
                <c:pt idx="80">
                  <c:v>457.81936</c:v>
                </c:pt>
                <c:pt idx="81">
                  <c:v>399.254121</c:v>
                </c:pt>
                <c:pt idx="82">
                  <c:v>388.07937</c:v>
                </c:pt>
                <c:pt idx="83">
                  <c:v>335.4527325</c:v>
                </c:pt>
                <c:pt idx="84">
                  <c:v>395.425428</c:v>
                </c:pt>
                <c:pt idx="85">
                  <c:v>466.133346</c:v>
                </c:pt>
                <c:pt idx="86">
                  <c:v>458.1095985</c:v>
                </c:pt>
                <c:pt idx="87">
                  <c:v>435.1750515</c:v>
                </c:pt>
                <c:pt idx="88">
                  <c:v>419.89441875</c:v>
                </c:pt>
                <c:pt idx="89">
                  <c:v>407.95007825</c:v>
                </c:pt>
                <c:pt idx="90">
                  <c:v>399.337344</c:v>
                </c:pt>
                <c:pt idx="91">
                  <c:v>391.50466425</c:v>
                </c:pt>
                <c:pt idx="92">
                  <c:v>414.01127625</c:v>
                </c:pt>
                <c:pt idx="93">
                  <c:v>391.5439605</c:v>
                </c:pt>
                <c:pt idx="94">
                  <c:v>382.02742625</c:v>
                </c:pt>
                <c:pt idx="95">
                  <c:v>383.103804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Data!$I$1</c:f>
              <c:strCache>
                <c:ptCount val="1"/>
                <c:pt idx="0">
                  <c:v>Wynik Pred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Data!$I$2:$I$98</c:f>
              <c:numCache>
                <c:formatCode>General</c:formatCode>
                <c:ptCount val="97"/>
                <c:pt idx="0">
                  <c:v>47.610746375</c:v>
                </c:pt>
                <c:pt idx="1">
                  <c:v>46.4674599</c:v>
                </c:pt>
                <c:pt idx="2">
                  <c:v>43.24963765</c:v>
                </c:pt>
                <c:pt idx="3">
                  <c:v>98.2601494</c:v>
                </c:pt>
                <c:pt idx="4">
                  <c:v>145.993848</c:v>
                </c:pt>
                <c:pt idx="5">
                  <c:v>134.937396875</c:v>
                </c:pt>
                <c:pt idx="6">
                  <c:v>125.26861025</c:v>
                </c:pt>
                <c:pt idx="7">
                  <c:v>128.64280275</c:v>
                </c:pt>
                <c:pt idx="8">
                  <c:v>141.88470705</c:v>
                </c:pt>
                <c:pt idx="9">
                  <c:v>131.9479294</c:v>
                </c:pt>
                <c:pt idx="10">
                  <c:v>123.72230845</c:v>
                </c:pt>
                <c:pt idx="11">
                  <c:v>122.495742825</c:v>
                </c:pt>
                <c:pt idx="12">
                  <c:v>128.609874375</c:v>
                </c:pt>
                <c:pt idx="13">
                  <c:v>119.81777175</c:v>
                </c:pt>
                <c:pt idx="14">
                  <c:v>105.784447275</c:v>
                </c:pt>
                <c:pt idx="15">
                  <c:v>112.7341904</c:v>
                </c:pt>
                <c:pt idx="16">
                  <c:v>111.32291115</c:v>
                </c:pt>
                <c:pt idx="17">
                  <c:v>110.1707321</c:v>
                </c:pt>
                <c:pt idx="18">
                  <c:v>98.9118078</c:v>
                </c:pt>
                <c:pt idx="19">
                  <c:v>101.855481</c:v>
                </c:pt>
                <c:pt idx="20">
                  <c:v>226.207936325</c:v>
                </c:pt>
                <c:pt idx="21">
                  <c:v>94.60424575</c:v>
                </c:pt>
                <c:pt idx="22">
                  <c:v>76.2300342</c:v>
                </c:pt>
                <c:pt idx="23">
                  <c:v>54.762979425</c:v>
                </c:pt>
                <c:pt idx="24">
                  <c:v>84.3016405</c:v>
                </c:pt>
                <c:pt idx="25">
                  <c:v>88.9504803</c:v>
                </c:pt>
                <c:pt idx="26">
                  <c:v>57.7418946</c:v>
                </c:pt>
                <c:pt idx="27">
                  <c:v>35.120617475</c:v>
                </c:pt>
                <c:pt idx="28">
                  <c:v>25.18986615</c:v>
                </c:pt>
                <c:pt idx="29">
                  <c:v>5.25616545</c:v>
                </c:pt>
                <c:pt idx="30">
                  <c:v>10.9100188</c:v>
                </c:pt>
                <c:pt idx="31">
                  <c:v>10.13492955</c:v>
                </c:pt>
                <c:pt idx="32">
                  <c:v>1.383369</c:v>
                </c:pt>
                <c:pt idx="33">
                  <c:v>3.5210604</c:v>
                </c:pt>
                <c:pt idx="34">
                  <c:v>58.2881976</c:v>
                </c:pt>
                <c:pt idx="35">
                  <c:v>4.558777</c:v>
                </c:pt>
                <c:pt idx="36">
                  <c:v>15.97413125</c:v>
                </c:pt>
                <c:pt idx="37">
                  <c:v>46.4437233</c:v>
                </c:pt>
                <c:pt idx="38">
                  <c:v>27.21506625</c:v>
                </c:pt>
                <c:pt idx="39">
                  <c:v>482.89851415</c:v>
                </c:pt>
                <c:pt idx="40">
                  <c:v>508.24909015</c:v>
                </c:pt>
                <c:pt idx="41">
                  <c:v>469.684342575</c:v>
                </c:pt>
                <c:pt idx="42">
                  <c:v>471.62155605</c:v>
                </c:pt>
                <c:pt idx="43">
                  <c:v>1308.325431875</c:v>
                </c:pt>
                <c:pt idx="44">
                  <c:v>1316.2710312</c:v>
                </c:pt>
                <c:pt idx="45">
                  <c:v>1350.55102</c:v>
                </c:pt>
                <c:pt idx="46">
                  <c:v>1354.03958375</c:v>
                </c:pt>
                <c:pt idx="47">
                  <c:v>1403.96952925</c:v>
                </c:pt>
                <c:pt idx="48">
                  <c:v>1475.510250225</c:v>
                </c:pt>
                <c:pt idx="49">
                  <c:v>1505.9150694</c:v>
                </c:pt>
                <c:pt idx="50">
                  <c:v>1472.4418125</c:v>
                </c:pt>
                <c:pt idx="51">
                  <c:v>1463.44282325</c:v>
                </c:pt>
                <c:pt idx="52">
                  <c:v>1068.45794595</c:v>
                </c:pt>
                <c:pt idx="53">
                  <c:v>1059.27213375</c:v>
                </c:pt>
                <c:pt idx="54">
                  <c:v>1006.65283095</c:v>
                </c:pt>
                <c:pt idx="55">
                  <c:v>967.8838572</c:v>
                </c:pt>
                <c:pt idx="56">
                  <c:v>1173.393227325</c:v>
                </c:pt>
                <c:pt idx="57">
                  <c:v>1148.45925535</c:v>
                </c:pt>
                <c:pt idx="58">
                  <c:v>1081.70639115</c:v>
                </c:pt>
                <c:pt idx="59">
                  <c:v>1009.99507735</c:v>
                </c:pt>
                <c:pt idx="60">
                  <c:v>1125.6781324</c:v>
                </c:pt>
                <c:pt idx="61">
                  <c:v>1062.39029985</c:v>
                </c:pt>
                <c:pt idx="62">
                  <c:v>1000.07651215</c:v>
                </c:pt>
                <c:pt idx="63">
                  <c:v>937.98846875</c:v>
                </c:pt>
                <c:pt idx="64">
                  <c:v>1155.87858025</c:v>
                </c:pt>
                <c:pt idx="65">
                  <c:v>1067.5319176</c:v>
                </c:pt>
                <c:pt idx="66">
                  <c:v>319.1272474</c:v>
                </c:pt>
                <c:pt idx="67">
                  <c:v>292.5792636</c:v>
                </c:pt>
                <c:pt idx="68">
                  <c:v>919.02666185</c:v>
                </c:pt>
                <c:pt idx="69">
                  <c:v>797.75470905</c:v>
                </c:pt>
                <c:pt idx="70">
                  <c:v>3.56642825</c:v>
                </c:pt>
                <c:pt idx="71">
                  <c:v>5.4475344</c:v>
                </c:pt>
                <c:pt idx="72">
                  <c:v>-55.715292025</c:v>
                </c:pt>
                <c:pt idx="73">
                  <c:v>-26.47800415</c:v>
                </c:pt>
                <c:pt idx="74">
                  <c:v>-24.861909</c:v>
                </c:pt>
                <c:pt idx="75">
                  <c:v>-18.3852644</c:v>
                </c:pt>
                <c:pt idx="76">
                  <c:v>-10.103514575</c:v>
                </c:pt>
                <c:pt idx="77">
                  <c:v>1.63995</c:v>
                </c:pt>
                <c:pt idx="78">
                  <c:v>15.5160327</c:v>
                </c:pt>
                <c:pt idx="79">
                  <c:v>31.006624</c:v>
                </c:pt>
                <c:pt idx="80">
                  <c:v>39.822736</c:v>
                </c:pt>
                <c:pt idx="81">
                  <c:v>39.9254121</c:v>
                </c:pt>
                <c:pt idx="82">
                  <c:v>38.807937</c:v>
                </c:pt>
                <c:pt idx="83">
                  <c:v>33.54527325</c:v>
                </c:pt>
                <c:pt idx="84">
                  <c:v>39.5425428</c:v>
                </c:pt>
                <c:pt idx="85">
                  <c:v>46.6133346</c:v>
                </c:pt>
                <c:pt idx="86">
                  <c:v>45.81095985</c:v>
                </c:pt>
                <c:pt idx="87">
                  <c:v>43.51750515</c:v>
                </c:pt>
                <c:pt idx="88">
                  <c:v>41.989441875</c:v>
                </c:pt>
                <c:pt idx="89">
                  <c:v>40.795007825</c:v>
                </c:pt>
                <c:pt idx="90">
                  <c:v>39.9337344</c:v>
                </c:pt>
                <c:pt idx="91">
                  <c:v>39.150466425</c:v>
                </c:pt>
                <c:pt idx="92">
                  <c:v>41.401127625</c:v>
                </c:pt>
                <c:pt idx="93">
                  <c:v>39.15439605</c:v>
                </c:pt>
                <c:pt idx="94">
                  <c:v>38.202742625</c:v>
                </c:pt>
                <c:pt idx="95">
                  <c:v>38.3103804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56605"/>
        <c:axId val="31066019"/>
      </c:lineChart>
      <c:catAx>
        <c:axId val="605660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1066019"/>
        <c:crosses val="autoZero"/>
        <c:auto val="1"/>
        <c:lblAlgn val="ctr"/>
        <c:lblOffset val="100"/>
        <c:noMultiLvlLbl val="0"/>
      </c:catAx>
      <c:valAx>
        <c:axId val="31066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0566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153720</xdr:colOff>
      <xdr:row>2</xdr:row>
      <xdr:rowOff>95400</xdr:rowOff>
    </xdr:from>
    <xdr:to>
      <xdr:col>22</xdr:col>
      <xdr:colOff>376920</xdr:colOff>
      <xdr:row>16</xdr:row>
      <xdr:rowOff>37800</xdr:rowOff>
    </xdr:to>
    <xdr:graphicFrame>
      <xdr:nvGraphicFramePr>
        <xdr:cNvPr id="1" name="Wykres 2"/>
        <xdr:cNvGraphicFramePr/>
      </xdr:nvGraphicFramePr>
      <xdr:xfrm>
        <a:off x="10133280" y="495360"/>
        <a:ext cx="689724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239760</xdr:colOff>
      <xdr:row>69</xdr:row>
      <xdr:rowOff>104760</xdr:rowOff>
    </xdr:from>
    <xdr:to>
      <xdr:col>32</xdr:col>
      <xdr:colOff>582480</xdr:colOff>
      <xdr:row>101</xdr:row>
      <xdr:rowOff>28080</xdr:rowOff>
    </xdr:to>
    <xdr:graphicFrame>
      <xdr:nvGraphicFramePr>
        <xdr:cNvPr id="2" name="Wykres 8"/>
        <xdr:cNvGraphicFramePr/>
      </xdr:nvGraphicFramePr>
      <xdr:xfrm>
        <a:off x="12221640" y="13906440"/>
        <a:ext cx="11688120" cy="632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497880</xdr:colOff>
      <xdr:row>9</xdr:row>
      <xdr:rowOff>131040</xdr:rowOff>
    </xdr:from>
    <xdr:to>
      <xdr:col>23</xdr:col>
      <xdr:colOff>250920</xdr:colOff>
      <xdr:row>25</xdr:row>
      <xdr:rowOff>170280</xdr:rowOff>
    </xdr:to>
    <xdr:graphicFrame>
      <xdr:nvGraphicFramePr>
        <xdr:cNvPr id="3" name=""/>
        <xdr:cNvGraphicFramePr/>
      </xdr:nvGraphicFramePr>
      <xdr:xfrm>
        <a:off x="11812320" y="19314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H2" activeCellId="0" sqref="H2:H97"/>
    </sheetView>
  </sheetViews>
  <sheetFormatPr defaultColWidth="8.6171875" defaultRowHeight="15.75" customHeight="false" zeroHeight="false" outlineLevelRow="0" outlineLevelCol="0"/>
  <cols>
    <col collapsed="false" customWidth="true" hidden="false" outlineLevel="0" max="1" min="1" style="0" width="25.88"/>
    <col collapsed="false" customWidth="true" hidden="false" outlineLevel="0" max="2" min="2" style="0" width="15.88"/>
    <col collapsed="false" customWidth="true" hidden="false" outlineLevel="0" max="8" min="8" style="0" width="9.53"/>
  </cols>
  <sheetData>
    <row r="1" customFormat="false" ht="15.75" hidden="false" customHeight="false" outlineLevel="0" collapsed="false">
      <c r="A1" s="1" t="s">
        <v>0</v>
      </c>
      <c r="B1" s="0" t="s">
        <v>1</v>
      </c>
      <c r="C1" s="0" t="s">
        <v>2</v>
      </c>
      <c r="D1" s="0" t="s">
        <v>3</v>
      </c>
      <c r="F1" s="0" t="s">
        <v>4</v>
      </c>
      <c r="G1" s="0" t="s">
        <v>5</v>
      </c>
      <c r="H1" s="0" t="s">
        <v>6</v>
      </c>
      <c r="I1" s="0" t="s">
        <v>7</v>
      </c>
    </row>
    <row r="2" customFormat="false" ht="15.75" hidden="false" customHeight="false" outlineLevel="0" collapsed="false">
      <c r="A2" s="1" t="s">
        <v>8</v>
      </c>
      <c r="B2" s="2" t="n">
        <v>0</v>
      </c>
      <c r="C2" s="0" t="n">
        <v>0</v>
      </c>
      <c r="D2" s="2" t="n">
        <v>30131</v>
      </c>
      <c r="E2" s="2" t="n">
        <f aca="false">C2-B2</f>
        <v>0</v>
      </c>
      <c r="F2" s="0" t="n">
        <f aca="false">D2-E2</f>
        <v>30131</v>
      </c>
      <c r="G2" s="3" t="n">
        <v>632.05</v>
      </c>
      <c r="H2" s="0" t="n">
        <f aca="false">D2/40000*G2</f>
        <v>476.10746375</v>
      </c>
      <c r="I2" s="0" t="n">
        <f aca="false">F2/400000*G2</f>
        <v>47.610746375</v>
      </c>
    </row>
    <row r="3" customFormat="false" ht="15.75" hidden="false" customHeight="false" outlineLevel="0" collapsed="false">
      <c r="A3" s="1" t="s">
        <v>9</v>
      </c>
      <c r="B3" s="2" t="n">
        <v>0</v>
      </c>
      <c r="C3" s="0" t="n">
        <v>0</v>
      </c>
      <c r="D3" s="2" t="n">
        <v>30357</v>
      </c>
      <c r="E3" s="2" t="n">
        <f aca="false">C3-B3</f>
        <v>0</v>
      </c>
      <c r="F3" s="2" t="n">
        <f aca="false">D3-E3</f>
        <v>30357</v>
      </c>
      <c r="G3" s="4" t="n">
        <v>612.28</v>
      </c>
      <c r="H3" s="0" t="n">
        <f aca="false">D3/40000*G3</f>
        <v>464.674599</v>
      </c>
      <c r="I3" s="0" t="n">
        <f aca="false">F3/400000*G3</f>
        <v>46.4674599</v>
      </c>
    </row>
    <row r="4" customFormat="false" ht="15.75" hidden="false" customHeight="false" outlineLevel="0" collapsed="false">
      <c r="A4" s="1" t="s">
        <v>10</v>
      </c>
      <c r="B4" s="2" t="n">
        <v>0</v>
      </c>
      <c r="C4" s="0" t="n">
        <v>0</v>
      </c>
      <c r="D4" s="2" t="n">
        <v>30577</v>
      </c>
      <c r="E4" s="2" t="n">
        <f aca="false">C4-B4</f>
        <v>0</v>
      </c>
      <c r="F4" s="2" t="n">
        <f aca="false">D4-E4</f>
        <v>30577</v>
      </c>
      <c r="G4" s="3" t="n">
        <v>565.78</v>
      </c>
      <c r="H4" s="0" t="n">
        <f aca="false">D4/40000*G4</f>
        <v>432.4963765</v>
      </c>
      <c r="I4" s="0" t="n">
        <f aca="false">F4/400000*G4</f>
        <v>43.24963765</v>
      </c>
    </row>
    <row r="5" customFormat="false" ht="15.75" hidden="false" customHeight="false" outlineLevel="0" collapsed="false">
      <c r="A5" s="1" t="s">
        <v>11</v>
      </c>
      <c r="B5" s="2" t="n">
        <v>0</v>
      </c>
      <c r="C5" s="0" t="n">
        <v>0</v>
      </c>
      <c r="D5" s="2" t="n">
        <v>62188</v>
      </c>
      <c r="E5" s="2" t="n">
        <f aca="false">C5-B5</f>
        <v>0</v>
      </c>
      <c r="F5" s="2" t="n">
        <f aca="false">D5-E5</f>
        <v>62188</v>
      </c>
      <c r="G5" s="4" t="n">
        <v>632.02</v>
      </c>
      <c r="H5" s="0" t="n">
        <f aca="false">D5/40000*G5</f>
        <v>982.601494</v>
      </c>
      <c r="I5" s="0" t="n">
        <f aca="false">F5/400000*G5</f>
        <v>98.2601494</v>
      </c>
    </row>
    <row r="6" customFormat="false" ht="15.75" hidden="false" customHeight="false" outlineLevel="0" collapsed="false">
      <c r="A6" s="1" t="s">
        <v>12</v>
      </c>
      <c r="B6" s="2" t="n">
        <v>0</v>
      </c>
      <c r="C6" s="0" t="n">
        <v>0</v>
      </c>
      <c r="D6" s="2" t="n">
        <v>92040</v>
      </c>
      <c r="E6" s="2" t="n">
        <f aca="false">C6-B6</f>
        <v>0</v>
      </c>
      <c r="F6" s="2" t="n">
        <f aca="false">D6-E6</f>
        <v>92040</v>
      </c>
      <c r="G6" s="3" t="n">
        <v>634.48</v>
      </c>
      <c r="H6" s="0" t="n">
        <f aca="false">D6/40000*G6</f>
        <v>1459.93848</v>
      </c>
      <c r="I6" s="0" t="n">
        <f aca="false">F6/400000*G6</f>
        <v>145.993848</v>
      </c>
    </row>
    <row r="7" customFormat="false" ht="15.75" hidden="false" customHeight="false" outlineLevel="0" collapsed="false">
      <c r="A7" s="1" t="s">
        <v>13</v>
      </c>
      <c r="B7" s="2" t="n">
        <v>0</v>
      </c>
      <c r="C7" s="0" t="n">
        <v>0</v>
      </c>
      <c r="D7" s="2" t="n">
        <v>86533</v>
      </c>
      <c r="E7" s="2" t="n">
        <f aca="false">C7-B7</f>
        <v>0</v>
      </c>
      <c r="F7" s="2" t="n">
        <f aca="false">D7-E7</f>
        <v>86533</v>
      </c>
      <c r="G7" s="4" t="n">
        <v>623.75</v>
      </c>
      <c r="H7" s="0" t="n">
        <f aca="false">D7/40000*G7</f>
        <v>1349.37396875</v>
      </c>
      <c r="I7" s="0" t="n">
        <f aca="false">F7/400000*G7</f>
        <v>134.937396875</v>
      </c>
    </row>
    <row r="8" customFormat="false" ht="15.75" hidden="false" customHeight="false" outlineLevel="0" collapsed="false">
      <c r="A8" s="1" t="s">
        <v>14</v>
      </c>
      <c r="B8" s="2" t="n">
        <v>0</v>
      </c>
      <c r="C8" s="0" t="n">
        <v>0</v>
      </c>
      <c r="D8" s="2" t="n">
        <v>80330</v>
      </c>
      <c r="E8" s="2" t="n">
        <f aca="false">C8-B8</f>
        <v>0</v>
      </c>
      <c r="F8" s="2" t="n">
        <f aca="false">D8-E8</f>
        <v>80330</v>
      </c>
      <c r="G8" s="3" t="n">
        <v>623.77</v>
      </c>
      <c r="H8" s="0" t="n">
        <f aca="false">D8/40000*G8</f>
        <v>1252.6861025</v>
      </c>
      <c r="I8" s="0" t="n">
        <f aca="false">F8/400000*G8</f>
        <v>125.26861025</v>
      </c>
    </row>
    <row r="9" customFormat="false" ht="15.75" hidden="false" customHeight="false" outlineLevel="0" collapsed="false">
      <c r="A9" s="1" t="s">
        <v>15</v>
      </c>
      <c r="B9" s="2" t="n">
        <v>0</v>
      </c>
      <c r="C9" s="0" t="n">
        <v>0</v>
      </c>
      <c r="D9" s="2" t="n">
        <v>82503</v>
      </c>
      <c r="E9" s="2" t="n">
        <f aca="false">C9-B9</f>
        <v>0</v>
      </c>
      <c r="F9" s="2" t="n">
        <f aca="false">D9-E9</f>
        <v>82503</v>
      </c>
      <c r="G9" s="4" t="n">
        <v>623.7</v>
      </c>
      <c r="H9" s="0" t="n">
        <f aca="false">D9/40000*G9</f>
        <v>1286.4280275</v>
      </c>
      <c r="I9" s="0" t="n">
        <f aca="false">F9/400000*G9</f>
        <v>128.64280275</v>
      </c>
    </row>
    <row r="10" customFormat="false" ht="15.75" hidden="false" customHeight="false" outlineLevel="0" collapsed="false">
      <c r="A10" s="1" t="s">
        <v>16</v>
      </c>
      <c r="B10" s="2" t="n">
        <v>0</v>
      </c>
      <c r="C10" s="0" t="n">
        <v>0</v>
      </c>
      <c r="D10" s="2" t="n">
        <v>92817</v>
      </c>
      <c r="E10" s="2" t="n">
        <f aca="false">C10-B10</f>
        <v>0</v>
      </c>
      <c r="F10" s="2" t="n">
        <f aca="false">D10-E10</f>
        <v>92817</v>
      </c>
      <c r="G10" s="3" t="n">
        <v>611.46</v>
      </c>
      <c r="H10" s="0" t="n">
        <f aca="false">D10/40000*G10</f>
        <v>1418.8470705</v>
      </c>
      <c r="I10" s="0" t="n">
        <f aca="false">F10/400000*G10</f>
        <v>141.88470705</v>
      </c>
    </row>
    <row r="11" customFormat="false" ht="15.75" hidden="false" customHeight="false" outlineLevel="0" collapsed="false">
      <c r="A11" s="1" t="s">
        <v>17</v>
      </c>
      <c r="B11" s="2" t="n">
        <v>0</v>
      </c>
      <c r="C11" s="0" t="n">
        <v>0</v>
      </c>
      <c r="D11" s="2" t="n">
        <v>86536</v>
      </c>
      <c r="E11" s="2" t="n">
        <f aca="false">C11-B11</f>
        <v>0</v>
      </c>
      <c r="F11" s="2" t="n">
        <f aca="false">D11-E11</f>
        <v>86536</v>
      </c>
      <c r="G11" s="4" t="n">
        <v>609.91</v>
      </c>
      <c r="H11" s="0" t="n">
        <f aca="false">D11/40000*G11</f>
        <v>1319.479294</v>
      </c>
      <c r="I11" s="0" t="n">
        <f aca="false">F11/400000*G11</f>
        <v>131.9479294</v>
      </c>
    </row>
    <row r="12" customFormat="false" ht="15.75" hidden="false" customHeight="false" outlineLevel="0" collapsed="false">
      <c r="A12" s="1" t="s">
        <v>18</v>
      </c>
      <c r="B12" s="2" t="n">
        <v>0</v>
      </c>
      <c r="C12" s="0" t="n">
        <v>0</v>
      </c>
      <c r="D12" s="2" t="n">
        <v>80551</v>
      </c>
      <c r="E12" s="2" t="n">
        <f aca="false">C12-B12</f>
        <v>0</v>
      </c>
      <c r="F12" s="2" t="n">
        <f aca="false">D12-E12</f>
        <v>80551</v>
      </c>
      <c r="G12" s="3" t="n">
        <v>614.38</v>
      </c>
      <c r="H12" s="0" t="n">
        <f aca="false">D12/40000*G12</f>
        <v>1237.2230845</v>
      </c>
      <c r="I12" s="0" t="n">
        <f aca="false">F12/400000*G12</f>
        <v>123.72230845</v>
      </c>
    </row>
    <row r="13" customFormat="false" ht="15.75" hidden="false" customHeight="false" outlineLevel="0" collapsed="false">
      <c r="A13" s="1" t="s">
        <v>19</v>
      </c>
      <c r="B13" s="2" t="n">
        <v>0</v>
      </c>
      <c r="C13" s="0" t="n">
        <v>0</v>
      </c>
      <c r="D13" s="2" t="n">
        <v>83917</v>
      </c>
      <c r="E13" s="2" t="n">
        <f aca="false">C13-B13</f>
        <v>0</v>
      </c>
      <c r="F13" s="2" t="n">
        <f aca="false">D13-E13</f>
        <v>83917</v>
      </c>
      <c r="G13" s="4" t="n">
        <v>583.89</v>
      </c>
      <c r="H13" s="0" t="n">
        <f aca="false">D13/40000*G13</f>
        <v>1224.95742825</v>
      </c>
      <c r="I13" s="0" t="n">
        <f aca="false">F13/400000*G13</f>
        <v>122.495742825</v>
      </c>
    </row>
    <row r="14" customFormat="false" ht="15.75" hidden="false" customHeight="false" outlineLevel="0" collapsed="false">
      <c r="A14" s="1" t="s">
        <v>20</v>
      </c>
      <c r="B14" s="2" t="n">
        <v>0</v>
      </c>
      <c r="C14" s="0" t="n">
        <v>0</v>
      </c>
      <c r="D14" s="2" t="n">
        <v>90435</v>
      </c>
      <c r="E14" s="2" t="n">
        <f aca="false">C14-B14</f>
        <v>0</v>
      </c>
      <c r="F14" s="2" t="n">
        <f aca="false">D14-E14</f>
        <v>90435</v>
      </c>
      <c r="G14" s="3" t="n">
        <v>568.85</v>
      </c>
      <c r="H14" s="0" t="n">
        <f aca="false">D14/40000*G14</f>
        <v>1286.09874375</v>
      </c>
      <c r="I14" s="0" t="n">
        <f aca="false">F14/400000*G14</f>
        <v>128.609874375</v>
      </c>
    </row>
    <row r="15" customFormat="false" ht="15.75" hidden="false" customHeight="false" outlineLevel="0" collapsed="false">
      <c r="A15" s="1" t="s">
        <v>21</v>
      </c>
      <c r="B15" s="2" t="n">
        <v>0</v>
      </c>
      <c r="C15" s="0" t="n">
        <v>0</v>
      </c>
      <c r="D15" s="2" t="n">
        <v>86265</v>
      </c>
      <c r="E15" s="2" t="n">
        <f aca="false">C15-B15</f>
        <v>0</v>
      </c>
      <c r="F15" s="2" t="n">
        <f aca="false">D15-E15</f>
        <v>86265</v>
      </c>
      <c r="G15" s="4" t="n">
        <v>555.58</v>
      </c>
      <c r="H15" s="0" t="n">
        <f aca="false">D15/40000*G15</f>
        <v>1198.1777175</v>
      </c>
      <c r="I15" s="0" t="n">
        <f aca="false">F15/400000*G15</f>
        <v>119.81777175</v>
      </c>
    </row>
    <row r="16" customFormat="false" ht="15.75" hidden="false" customHeight="false" outlineLevel="0" collapsed="false">
      <c r="A16" s="1" t="s">
        <v>22</v>
      </c>
      <c r="B16" s="2" t="n">
        <v>0</v>
      </c>
      <c r="C16" s="0" t="n">
        <v>0</v>
      </c>
      <c r="D16" s="2" t="n">
        <v>81393</v>
      </c>
      <c r="E16" s="2" t="n">
        <f aca="false">C16-B16</f>
        <v>0</v>
      </c>
      <c r="F16" s="2" t="n">
        <f aca="false">D16-E16</f>
        <v>81393</v>
      </c>
      <c r="G16" s="3" t="n">
        <v>519.87</v>
      </c>
      <c r="H16" s="0" t="n">
        <f aca="false">D16/40000*G16</f>
        <v>1057.84447275</v>
      </c>
      <c r="I16" s="0" t="n">
        <f aca="false">F16/400000*G16</f>
        <v>105.784447275</v>
      </c>
    </row>
    <row r="17" customFormat="false" ht="15.75" hidden="false" customHeight="false" outlineLevel="0" collapsed="false">
      <c r="A17" s="1" t="s">
        <v>23</v>
      </c>
      <c r="B17" s="2" t="n">
        <v>0</v>
      </c>
      <c r="C17" s="0" t="n">
        <v>0</v>
      </c>
      <c r="D17" s="2" t="n">
        <v>84344</v>
      </c>
      <c r="E17" s="2" t="n">
        <f aca="false">C17-B17</f>
        <v>0</v>
      </c>
      <c r="F17" s="2" t="n">
        <f aca="false">D17-E17</f>
        <v>84344</v>
      </c>
      <c r="G17" s="4" t="n">
        <v>534.64</v>
      </c>
      <c r="H17" s="0" t="n">
        <f aca="false">D17/40000*G17</f>
        <v>1127.341904</v>
      </c>
      <c r="I17" s="0" t="n">
        <f aca="false">F17/400000*G17</f>
        <v>112.7341904</v>
      </c>
    </row>
    <row r="18" customFormat="false" ht="15.75" hidden="false" customHeight="false" outlineLevel="0" collapsed="false">
      <c r="A18" s="1" t="s">
        <v>24</v>
      </c>
      <c r="B18" s="2" t="n">
        <v>0</v>
      </c>
      <c r="C18" s="0" t="n">
        <v>0</v>
      </c>
      <c r="D18" s="2" t="n">
        <v>88341</v>
      </c>
      <c r="E18" s="2" t="n">
        <f aca="false">C18-B18</f>
        <v>0</v>
      </c>
      <c r="F18" s="2" t="n">
        <f aca="false">D18-E18</f>
        <v>88341</v>
      </c>
      <c r="G18" s="3" t="n">
        <v>504.06</v>
      </c>
      <c r="H18" s="0" t="n">
        <f aca="false">D18/40000*G18</f>
        <v>1113.2291115</v>
      </c>
      <c r="I18" s="0" t="n">
        <f aca="false">F18/400000*G18</f>
        <v>111.32291115</v>
      </c>
    </row>
    <row r="19" customFormat="false" ht="15.75" hidden="false" customHeight="false" outlineLevel="0" collapsed="false">
      <c r="A19" s="1" t="s">
        <v>25</v>
      </c>
      <c r="B19" s="2" t="n">
        <v>0</v>
      </c>
      <c r="C19" s="0" t="n">
        <v>0</v>
      </c>
      <c r="D19" s="2" t="n">
        <v>85646</v>
      </c>
      <c r="E19" s="2" t="n">
        <f aca="false">C19-B19</f>
        <v>0</v>
      </c>
      <c r="F19" s="2" t="n">
        <f aca="false">D19-E19</f>
        <v>85646</v>
      </c>
      <c r="G19" s="4" t="n">
        <v>514.54</v>
      </c>
      <c r="H19" s="0" t="n">
        <f aca="false">D19/40000*G19</f>
        <v>1101.707321</v>
      </c>
      <c r="I19" s="0" t="n">
        <f aca="false">F19/400000*G19</f>
        <v>110.1707321</v>
      </c>
    </row>
    <row r="20" customFormat="false" ht="15.75" hidden="false" customHeight="false" outlineLevel="0" collapsed="false">
      <c r="A20" s="1" t="s">
        <v>26</v>
      </c>
      <c r="B20" s="2" t="n">
        <v>0</v>
      </c>
      <c r="C20" s="0" t="n">
        <v>0</v>
      </c>
      <c r="D20" s="2" t="n">
        <v>81528</v>
      </c>
      <c r="E20" s="2" t="n">
        <f aca="false">C20-B20</f>
        <v>0</v>
      </c>
      <c r="F20" s="2" t="n">
        <f aca="false">D20-E20</f>
        <v>81528</v>
      </c>
      <c r="G20" s="3" t="n">
        <v>485.29</v>
      </c>
      <c r="H20" s="0" t="n">
        <f aca="false">D20/40000*G20</f>
        <v>989.118078</v>
      </c>
      <c r="I20" s="0" t="n">
        <f aca="false">F20/400000*G20</f>
        <v>98.9118078</v>
      </c>
    </row>
    <row r="21" customFormat="false" ht="15.75" hidden="false" customHeight="false" outlineLevel="0" collapsed="false">
      <c r="A21" s="1" t="s">
        <v>27</v>
      </c>
      <c r="B21" s="2" t="n">
        <v>0</v>
      </c>
      <c r="C21" s="0" t="n">
        <v>0</v>
      </c>
      <c r="D21" s="2" t="n">
        <v>87960</v>
      </c>
      <c r="E21" s="2" t="n">
        <f aca="false">C21-B21</f>
        <v>0</v>
      </c>
      <c r="F21" s="2" t="n">
        <f aca="false">D21-E21</f>
        <v>87960</v>
      </c>
      <c r="G21" s="4" t="n">
        <v>463.19</v>
      </c>
      <c r="H21" s="0" t="n">
        <f aca="false">D21/40000*G21</f>
        <v>1018.55481</v>
      </c>
      <c r="I21" s="0" t="n">
        <f aca="false">F21/400000*G21</f>
        <v>101.855481</v>
      </c>
    </row>
    <row r="22" customFormat="false" ht="15.75" hidden="false" customHeight="false" outlineLevel="0" collapsed="false">
      <c r="A22" s="1" t="s">
        <v>28</v>
      </c>
      <c r="B22" s="2" t="n">
        <v>0</v>
      </c>
      <c r="C22" s="0" t="n">
        <v>0</v>
      </c>
      <c r="D22" s="2" t="n">
        <v>87409</v>
      </c>
      <c r="E22" s="2" t="n">
        <f aca="false">C22-B22</f>
        <v>0</v>
      </c>
      <c r="F22" s="2" t="n">
        <f aca="false">D22-E22</f>
        <v>87409</v>
      </c>
      <c r="G22" s="3" t="n">
        <v>1035.17</v>
      </c>
      <c r="H22" s="0" t="n">
        <f aca="false">D22/40000*G22</f>
        <v>2262.07936325</v>
      </c>
      <c r="I22" s="0" t="n">
        <f aca="false">F22/400000*G22</f>
        <v>226.207936325</v>
      </c>
    </row>
    <row r="23" customFormat="false" ht="15.75" hidden="false" customHeight="false" outlineLevel="0" collapsed="false">
      <c r="A23" s="1" t="s">
        <v>29</v>
      </c>
      <c r="B23" s="2" t="n">
        <v>0</v>
      </c>
      <c r="C23" s="0" t="n">
        <v>150</v>
      </c>
      <c r="D23" s="2" t="n">
        <v>94307</v>
      </c>
      <c r="E23" s="0" t="n">
        <f aca="false">C23-B23</f>
        <v>150</v>
      </c>
      <c r="F23" s="2" t="n">
        <f aca="false">D23-E23</f>
        <v>94157</v>
      </c>
      <c r="G23" s="4" t="n">
        <v>401.9</v>
      </c>
      <c r="H23" s="0" t="n">
        <f aca="false">D23/40000*G23</f>
        <v>947.5495825</v>
      </c>
      <c r="I23" s="0" t="n">
        <f aca="false">F23/400000*G23</f>
        <v>94.60424575</v>
      </c>
    </row>
    <row r="24" customFormat="false" ht="15.75" hidden="false" customHeight="false" outlineLevel="0" collapsed="false">
      <c r="A24" s="1" t="s">
        <v>30</v>
      </c>
      <c r="B24" s="2" t="n">
        <v>0</v>
      </c>
      <c r="C24" s="0" t="n">
        <v>800</v>
      </c>
      <c r="D24" s="2" t="n">
        <v>87494</v>
      </c>
      <c r="E24" s="2" t="n">
        <f aca="false">C24-B24</f>
        <v>800</v>
      </c>
      <c r="F24" s="2" t="n">
        <f aca="false">D24-E24</f>
        <v>86694</v>
      </c>
      <c r="G24" s="3" t="n">
        <v>351.72</v>
      </c>
      <c r="H24" s="0" t="n">
        <f aca="false">D24/40000*G24</f>
        <v>769.334742</v>
      </c>
      <c r="I24" s="0" t="n">
        <f aca="false">F24/400000*G24</f>
        <v>76.2300342</v>
      </c>
    </row>
    <row r="25" customFormat="false" ht="15.75" hidden="false" customHeight="false" outlineLevel="0" collapsed="false">
      <c r="A25" s="1" t="s">
        <v>31</v>
      </c>
      <c r="B25" s="2" t="n">
        <v>273</v>
      </c>
      <c r="C25" s="0" t="n">
        <v>2500</v>
      </c>
      <c r="D25" s="2" t="n">
        <v>88696</v>
      </c>
      <c r="E25" s="2" t="n">
        <f aca="false">C25-B25</f>
        <v>2227</v>
      </c>
      <c r="F25" s="2" t="n">
        <f aca="false">D25-E25</f>
        <v>86469</v>
      </c>
      <c r="G25" s="4" t="n">
        <v>253.33</v>
      </c>
      <c r="H25" s="0" t="n">
        <f aca="false">D25/40000*G25</f>
        <v>561.733942</v>
      </c>
      <c r="I25" s="0" t="n">
        <f aca="false">F25/400000*G25</f>
        <v>54.762979425</v>
      </c>
    </row>
    <row r="26" customFormat="false" ht="15.75" hidden="false" customHeight="false" outlineLevel="0" collapsed="false">
      <c r="A26" s="1" t="s">
        <v>32</v>
      </c>
      <c r="B26" s="2" t="n">
        <v>4953</v>
      </c>
      <c r="C26" s="0" t="n">
        <v>6500</v>
      </c>
      <c r="D26" s="2" t="n">
        <v>84042</v>
      </c>
      <c r="E26" s="2" t="n">
        <f aca="false">C26-B26</f>
        <v>1547</v>
      </c>
      <c r="F26" s="2" t="n">
        <f aca="false">D26-E26</f>
        <v>82495</v>
      </c>
      <c r="G26" s="3" t="n">
        <v>408.76</v>
      </c>
      <c r="H26" s="0" t="n">
        <f aca="false">D26/40000*G26</f>
        <v>858.825198</v>
      </c>
      <c r="I26" s="0" t="n">
        <f aca="false">F26/400000*G26</f>
        <v>84.3016405</v>
      </c>
    </row>
    <row r="27" customFormat="false" ht="15.75" hidden="false" customHeight="false" outlineLevel="0" collapsed="false">
      <c r="A27" s="1" t="s">
        <v>33</v>
      </c>
      <c r="B27" s="2" t="n">
        <v>13533</v>
      </c>
      <c r="C27" s="0" t="n">
        <v>14500</v>
      </c>
      <c r="D27" s="2" t="n">
        <v>85069</v>
      </c>
      <c r="E27" s="2" t="n">
        <f aca="false">C27-B27</f>
        <v>967</v>
      </c>
      <c r="F27" s="2" t="n">
        <f aca="false">D27-E27</f>
        <v>84102</v>
      </c>
      <c r="G27" s="4" t="n">
        <v>423.06</v>
      </c>
      <c r="H27" s="0" t="n">
        <f aca="false">D27/40000*G27</f>
        <v>899.7322785</v>
      </c>
      <c r="I27" s="0" t="n">
        <f aca="false">F27/400000*G27</f>
        <v>88.9504803</v>
      </c>
    </row>
    <row r="28" customFormat="false" ht="15.75" hidden="false" customHeight="false" outlineLevel="0" collapsed="false">
      <c r="A28" s="1" t="s">
        <v>34</v>
      </c>
      <c r="B28" s="2" t="n">
        <v>24407</v>
      </c>
      <c r="C28" s="0" t="n">
        <v>28000</v>
      </c>
      <c r="D28" s="2" t="n">
        <v>63901</v>
      </c>
      <c r="E28" s="2" t="n">
        <f aca="false">C28-B28</f>
        <v>3593</v>
      </c>
      <c r="F28" s="2" t="n">
        <f aca="false">D28-E28</f>
        <v>60308</v>
      </c>
      <c r="G28" s="3" t="n">
        <v>382.98</v>
      </c>
      <c r="H28" s="0" t="n">
        <f aca="false">D28/40000*G28</f>
        <v>611.8201245</v>
      </c>
      <c r="I28" s="0" t="n">
        <f aca="false">F28/400000*G28</f>
        <v>57.7418946</v>
      </c>
    </row>
    <row r="29" customFormat="false" ht="15.75" hidden="false" customHeight="false" outlineLevel="0" collapsed="false">
      <c r="A29" s="1" t="s">
        <v>35</v>
      </c>
      <c r="B29" s="2" t="n">
        <v>44333</v>
      </c>
      <c r="C29" s="0" t="n">
        <v>48000</v>
      </c>
      <c r="D29" s="2" t="n">
        <v>41424</v>
      </c>
      <c r="E29" s="2" t="n">
        <f aca="false">C29-B29</f>
        <v>3667</v>
      </c>
      <c r="F29" s="2" t="n">
        <f aca="false">D29-E29</f>
        <v>37757</v>
      </c>
      <c r="G29" s="4" t="n">
        <v>372.07</v>
      </c>
      <c r="H29" s="0" t="n">
        <f aca="false">D29/40000*G29</f>
        <v>385.315692</v>
      </c>
      <c r="I29" s="0" t="n">
        <f aca="false">F29/400000*G29</f>
        <v>35.120617475</v>
      </c>
    </row>
    <row r="30" customFormat="false" ht="15.75" hidden="false" customHeight="false" outlineLevel="0" collapsed="false">
      <c r="A30" s="1" t="s">
        <v>36</v>
      </c>
      <c r="B30" s="2" t="n">
        <v>75547</v>
      </c>
      <c r="C30" s="0" t="n">
        <v>76000</v>
      </c>
      <c r="D30" s="2" t="n">
        <v>14211</v>
      </c>
      <c r="E30" s="2" t="n">
        <f aca="false">C30-B30</f>
        <v>453</v>
      </c>
      <c r="F30" s="2" t="n">
        <f aca="false">D30-E30</f>
        <v>13758</v>
      </c>
      <c r="G30" s="3" t="n">
        <v>732.37</v>
      </c>
      <c r="H30" s="0" t="n">
        <f aca="false">D30/40000*G30</f>
        <v>260.19275175</v>
      </c>
      <c r="I30" s="0" t="n">
        <f aca="false">F30/400000*G30</f>
        <v>25.18986615</v>
      </c>
    </row>
    <row r="31" customFormat="false" ht="15.75" hidden="false" customHeight="false" outlineLevel="0" collapsed="false">
      <c r="A31" s="1" t="s">
        <v>37</v>
      </c>
      <c r="B31" s="2" t="n">
        <v>117607</v>
      </c>
      <c r="C31" s="0" t="n">
        <v>112000</v>
      </c>
      <c r="D31" s="2" t="n">
        <v>-509</v>
      </c>
      <c r="E31" s="2" t="n">
        <f aca="false">C31-B31</f>
        <v>-5607</v>
      </c>
      <c r="F31" s="2" t="n">
        <f aca="false">D31-E31</f>
        <v>5098</v>
      </c>
      <c r="G31" s="4" t="n">
        <v>412.41</v>
      </c>
      <c r="H31" s="0" t="n">
        <f aca="false">D31/40000*G31</f>
        <v>-5.24791725</v>
      </c>
      <c r="I31" s="0" t="n">
        <f aca="false">F31/400000*G31</f>
        <v>5.25616545</v>
      </c>
    </row>
    <row r="32" customFormat="false" ht="15.75" hidden="false" customHeight="false" outlineLevel="0" collapsed="false">
      <c r="A32" s="1" t="s">
        <v>38</v>
      </c>
      <c r="B32" s="2" t="n">
        <v>168853</v>
      </c>
      <c r="C32" s="0" t="n">
        <v>158000</v>
      </c>
      <c r="D32" s="2" t="n">
        <v>-159</v>
      </c>
      <c r="E32" s="2" t="n">
        <f aca="false">C32-B32</f>
        <v>-10853</v>
      </c>
      <c r="F32" s="2" t="n">
        <f aca="false">D32-E32</f>
        <v>10694</v>
      </c>
      <c r="G32" s="3" t="n">
        <v>408.08</v>
      </c>
      <c r="H32" s="0" t="n">
        <f aca="false">D32/40000*G32</f>
        <v>-1.622118</v>
      </c>
      <c r="I32" s="0" t="n">
        <f aca="false">F32/400000*G32</f>
        <v>10.9100188</v>
      </c>
    </row>
    <row r="33" customFormat="false" ht="15.75" hidden="false" customHeight="false" outlineLevel="0" collapsed="false">
      <c r="A33" s="1" t="s">
        <v>39</v>
      </c>
      <c r="B33" s="2" t="n">
        <v>223933</v>
      </c>
      <c r="C33" s="0" t="n">
        <v>208000</v>
      </c>
      <c r="D33" s="2" t="n">
        <v>-342</v>
      </c>
      <c r="E33" s="2" t="n">
        <f aca="false">C33-B33</f>
        <v>-15933</v>
      </c>
      <c r="F33" s="2" t="n">
        <f aca="false">D33-E33</f>
        <v>15591</v>
      </c>
      <c r="G33" s="4" t="n">
        <v>260.02</v>
      </c>
      <c r="H33" s="0" t="n">
        <f aca="false">D33/40000*G33</f>
        <v>-2.223171</v>
      </c>
      <c r="I33" s="0" t="n">
        <f aca="false">F33/400000*G33</f>
        <v>10.13492955</v>
      </c>
    </row>
    <row r="34" customFormat="false" ht="15.75" hidden="false" customHeight="false" outlineLevel="0" collapsed="false">
      <c r="A34" s="1" t="s">
        <v>40</v>
      </c>
      <c r="B34" s="2" t="n">
        <v>118967</v>
      </c>
      <c r="C34" s="0" t="n">
        <v>252000</v>
      </c>
      <c r="D34" s="2" t="n">
        <v>9793</v>
      </c>
      <c r="E34" s="2" t="n">
        <f aca="false">C34-B34</f>
        <v>133033</v>
      </c>
      <c r="F34" s="2" t="n">
        <f aca="false">D34-E34</f>
        <v>-123240</v>
      </c>
      <c r="G34" s="3" t="n">
        <v>-4.49</v>
      </c>
      <c r="H34" s="0" t="n">
        <f aca="false">D34/40000*G34</f>
        <v>-1.09926425</v>
      </c>
      <c r="I34" s="0" t="n">
        <f aca="false">F34/400000*G34</f>
        <v>1.383369</v>
      </c>
    </row>
    <row r="35" customFormat="false" ht="15.75" hidden="false" customHeight="false" outlineLevel="0" collapsed="false">
      <c r="A35" s="1" t="s">
        <v>41</v>
      </c>
      <c r="B35" s="2" t="n">
        <v>249313</v>
      </c>
      <c r="C35" s="0" t="n">
        <v>289000</v>
      </c>
      <c r="D35" s="2" t="n">
        <v>-5397</v>
      </c>
      <c r="E35" s="2" t="n">
        <f aca="false">C35-B35</f>
        <v>39687</v>
      </c>
      <c r="F35" s="2" t="n">
        <f aca="false">D35-E35</f>
        <v>-45084</v>
      </c>
      <c r="G35" s="4" t="n">
        <v>-31.24</v>
      </c>
      <c r="H35" s="0" t="n">
        <f aca="false">D35/40000*G35</f>
        <v>4.215057</v>
      </c>
      <c r="I35" s="0" t="n">
        <f aca="false">F35/400000*G35</f>
        <v>3.5210604</v>
      </c>
    </row>
    <row r="36" customFormat="false" ht="15.75" hidden="false" customHeight="false" outlineLevel="0" collapsed="false">
      <c r="A36" s="1" t="s">
        <v>42</v>
      </c>
      <c r="B36" s="2" t="n">
        <v>296247</v>
      </c>
      <c r="C36" s="2" t="n">
        <v>318000</v>
      </c>
      <c r="D36" s="2" t="n">
        <v>-8120</v>
      </c>
      <c r="E36" s="2" t="n">
        <f aca="false">C36-B36</f>
        <v>21753</v>
      </c>
      <c r="F36" s="2" t="n">
        <f aca="false">D36-E36</f>
        <v>-29873</v>
      </c>
      <c r="G36" s="3" t="n">
        <v>-780.48</v>
      </c>
      <c r="H36" s="0" t="n">
        <f aca="false">D36/40000*G36</f>
        <v>158.43744</v>
      </c>
      <c r="I36" s="0" t="n">
        <f aca="false">F36/400000*G36</f>
        <v>58.2881976</v>
      </c>
    </row>
    <row r="37" customFormat="false" ht="15.75" hidden="false" customHeight="false" outlineLevel="0" collapsed="false">
      <c r="A37" s="1" t="s">
        <v>43</v>
      </c>
      <c r="B37" s="2" t="n">
        <v>285933</v>
      </c>
      <c r="C37" s="2" t="n">
        <v>338000</v>
      </c>
      <c r="D37" s="2" t="n">
        <v>5785</v>
      </c>
      <c r="E37" s="2" t="n">
        <f aca="false">C37-B37</f>
        <v>52067</v>
      </c>
      <c r="F37" s="2" t="n">
        <f aca="false">D37-E37</f>
        <v>-46282</v>
      </c>
      <c r="G37" s="4" t="n">
        <v>-39.4</v>
      </c>
      <c r="H37" s="0" t="n">
        <f aca="false">D37/40000*G37</f>
        <v>-5.698225</v>
      </c>
      <c r="I37" s="0" t="n">
        <f aca="false">F37/400000*G37</f>
        <v>4.558777</v>
      </c>
    </row>
    <row r="38" customFormat="false" ht="15.75" hidden="false" customHeight="false" outlineLevel="0" collapsed="false">
      <c r="A38" s="1" t="s">
        <v>44</v>
      </c>
      <c r="B38" s="2" t="n">
        <v>280493</v>
      </c>
      <c r="C38" s="2" t="n">
        <v>352000</v>
      </c>
      <c r="D38" s="2" t="n">
        <v>10362</v>
      </c>
      <c r="E38" s="2" t="n">
        <f aca="false">C38-B38</f>
        <v>71507</v>
      </c>
      <c r="F38" s="2" t="n">
        <f aca="false">D38-E38</f>
        <v>-61145</v>
      </c>
      <c r="G38" s="3" t="n">
        <v>-104.5</v>
      </c>
      <c r="H38" s="0" t="n">
        <f aca="false">D38/40000*G38</f>
        <v>-27.070725</v>
      </c>
      <c r="I38" s="0" t="n">
        <f aca="false">F38/400000*G38</f>
        <v>15.97413125</v>
      </c>
    </row>
    <row r="39" customFormat="false" ht="15.75" hidden="false" customHeight="false" outlineLevel="0" collapsed="false">
      <c r="A39" s="1" t="s">
        <v>45</v>
      </c>
      <c r="B39" s="2" t="n">
        <v>283587</v>
      </c>
      <c r="C39" s="2" t="n">
        <v>364000</v>
      </c>
      <c r="D39" s="2" t="n">
        <v>1417</v>
      </c>
      <c r="E39" s="2" t="n">
        <f aca="false">C39-B39</f>
        <v>80413</v>
      </c>
      <c r="F39" s="2" t="n">
        <f aca="false">D39-E39</f>
        <v>-78996</v>
      </c>
      <c r="G39" s="4" t="n">
        <v>-235.17</v>
      </c>
      <c r="H39" s="0" t="n">
        <f aca="false">D39/40000*G39</f>
        <v>-8.33089725</v>
      </c>
      <c r="I39" s="0" t="n">
        <f aca="false">F39/400000*G39</f>
        <v>46.4437233</v>
      </c>
    </row>
    <row r="40" customFormat="false" ht="15.75" hidden="false" customHeight="false" outlineLevel="0" collapsed="false">
      <c r="A40" s="1" t="s">
        <v>46</v>
      </c>
      <c r="B40" s="2" t="n">
        <v>275713</v>
      </c>
      <c r="C40" s="2" t="n">
        <v>376000</v>
      </c>
      <c r="D40" s="2" t="n">
        <v>-4892</v>
      </c>
      <c r="E40" s="2" t="n">
        <f aca="false">C40-B40</f>
        <v>100287</v>
      </c>
      <c r="F40" s="2" t="n">
        <f aca="false">D40-E40</f>
        <v>-105179</v>
      </c>
      <c r="G40" s="3" t="n">
        <v>-103.5</v>
      </c>
      <c r="H40" s="0" t="n">
        <f aca="false">D40/40000*G40</f>
        <v>12.65805</v>
      </c>
      <c r="I40" s="0" t="n">
        <f aca="false">F40/400000*G40</f>
        <v>27.21506625</v>
      </c>
    </row>
    <row r="41" customFormat="false" ht="15.75" hidden="false" customHeight="false" outlineLevel="0" collapsed="false">
      <c r="A41" s="1" t="s">
        <v>47</v>
      </c>
      <c r="B41" s="2" t="n">
        <v>83273</v>
      </c>
      <c r="C41" s="2" t="n">
        <v>389000</v>
      </c>
      <c r="D41" s="2" t="n">
        <v>1376</v>
      </c>
      <c r="E41" s="2" t="n">
        <f aca="false">C41-B41</f>
        <v>305727</v>
      </c>
      <c r="F41" s="2" t="n">
        <f aca="false">D41-E41</f>
        <v>-304351</v>
      </c>
      <c r="G41" s="4" t="n">
        <v>-634.66</v>
      </c>
      <c r="H41" s="0" t="n">
        <f aca="false">D41/40000*G41</f>
        <v>-21.832304</v>
      </c>
      <c r="I41" s="0" t="n">
        <f aca="false">F41/400000*G41</f>
        <v>482.89851415</v>
      </c>
    </row>
    <row r="42" customFormat="false" ht="15.75" hidden="false" customHeight="false" outlineLevel="0" collapsed="false">
      <c r="A42" s="1" t="s">
        <v>48</v>
      </c>
      <c r="B42" s="2" t="n">
        <v>78727</v>
      </c>
      <c r="C42" s="2" t="n">
        <v>401000</v>
      </c>
      <c r="D42" s="2" t="n">
        <v>1884</v>
      </c>
      <c r="E42" s="2" t="n">
        <f aca="false">C42-B42</f>
        <v>322273</v>
      </c>
      <c r="F42" s="2" t="n">
        <f aca="false">D42-E42</f>
        <v>-320389</v>
      </c>
      <c r="G42" s="3" t="n">
        <v>-634.54</v>
      </c>
      <c r="H42" s="0" t="n">
        <f aca="false">D42/40000*G42</f>
        <v>-29.886834</v>
      </c>
      <c r="I42" s="0" t="n">
        <f aca="false">F42/400000*G42</f>
        <v>508.24909015</v>
      </c>
    </row>
    <row r="43" customFormat="false" ht="15.75" hidden="false" customHeight="false" outlineLevel="0" collapsed="false">
      <c r="A43" s="1" t="s">
        <v>49</v>
      </c>
      <c r="B43" s="2" t="n">
        <v>82040</v>
      </c>
      <c r="C43" s="2" t="n">
        <v>412000</v>
      </c>
      <c r="D43" s="2" t="n">
        <v>767</v>
      </c>
      <c r="E43" s="2" t="n">
        <f aca="false">C43-B43</f>
        <v>329960</v>
      </c>
      <c r="F43" s="2" t="n">
        <f aca="false">D43-E43</f>
        <v>-329193</v>
      </c>
      <c r="G43" s="4" t="n">
        <v>-570.71</v>
      </c>
      <c r="H43" s="0" t="n">
        <f aca="false">D43/40000*G43</f>
        <v>-10.94336425</v>
      </c>
      <c r="I43" s="0" t="n">
        <f aca="false">F43/400000*G43</f>
        <v>469.684342575</v>
      </c>
    </row>
    <row r="44" customFormat="false" ht="15.75" hidden="false" customHeight="false" outlineLevel="0" collapsed="false">
      <c r="A44" s="1" t="s">
        <v>50</v>
      </c>
      <c r="B44" s="2" t="n">
        <v>87193</v>
      </c>
      <c r="C44" s="2" t="n">
        <v>421000</v>
      </c>
      <c r="D44" s="2" t="n">
        <v>-315</v>
      </c>
      <c r="E44" s="2" t="n">
        <f aca="false">C44-B44</f>
        <v>333807</v>
      </c>
      <c r="F44" s="2" t="n">
        <f aca="false">D44-E44</f>
        <v>-334122</v>
      </c>
      <c r="G44" s="3" t="n">
        <v>-564.61</v>
      </c>
      <c r="H44" s="0" t="n">
        <f aca="false">D44/40000*G44</f>
        <v>4.44630375</v>
      </c>
      <c r="I44" s="0" t="n">
        <f aca="false">F44/400000*G44</f>
        <v>471.62155605</v>
      </c>
    </row>
    <row r="45" customFormat="false" ht="15.75" hidden="false" customHeight="false" outlineLevel="0" collapsed="false">
      <c r="A45" s="1" t="s">
        <v>51</v>
      </c>
      <c r="B45" s="2" t="n">
        <v>83167</v>
      </c>
      <c r="C45" s="0" t="n">
        <v>429000</v>
      </c>
      <c r="D45" s="2" t="n">
        <v>658</v>
      </c>
      <c r="E45" s="2" t="n">
        <f aca="false">C45-B45</f>
        <v>345833</v>
      </c>
      <c r="F45" s="2" t="n">
        <f aca="false">D45-E45</f>
        <v>-345175</v>
      </c>
      <c r="G45" s="4" t="n">
        <v>-1516.13</v>
      </c>
      <c r="H45" s="0" t="n">
        <f aca="false">D45/40000*G45</f>
        <v>-24.9403385</v>
      </c>
      <c r="I45" s="0" t="n">
        <f aca="false">F45/400000*G45</f>
        <v>1308.325431875</v>
      </c>
    </row>
    <row r="46" customFormat="false" ht="15.75" hidden="false" customHeight="false" outlineLevel="0" collapsed="false">
      <c r="A46" s="1" t="s">
        <v>52</v>
      </c>
      <c r="B46" s="2" t="n">
        <v>88787</v>
      </c>
      <c r="C46" s="0" t="n">
        <v>436000</v>
      </c>
      <c r="D46" s="2" t="n">
        <v>-1235</v>
      </c>
      <c r="E46" s="2" t="n">
        <f aca="false">C46-B46</f>
        <v>347213</v>
      </c>
      <c r="F46" s="2" t="n">
        <f aca="false">D46-E46</f>
        <v>-348448</v>
      </c>
      <c r="G46" s="3" t="n">
        <v>-1511.01</v>
      </c>
      <c r="H46" s="0" t="n">
        <f aca="false">D46/40000*G46</f>
        <v>46.65243375</v>
      </c>
      <c r="I46" s="0" t="n">
        <f aca="false">F46/400000*G46</f>
        <v>1316.2710312</v>
      </c>
    </row>
    <row r="47" customFormat="false" ht="15.75" hidden="false" customHeight="false" outlineLevel="0" collapsed="false">
      <c r="A47" s="1" t="s">
        <v>53</v>
      </c>
      <c r="B47" s="2" t="n">
        <v>87107</v>
      </c>
      <c r="C47" s="0" t="n">
        <v>442000</v>
      </c>
      <c r="D47" s="2" t="n">
        <v>-707</v>
      </c>
      <c r="E47" s="2" t="n">
        <f aca="false">C47-B47</f>
        <v>354893</v>
      </c>
      <c r="F47" s="2" t="n">
        <f aca="false">D47-E47</f>
        <v>-355600</v>
      </c>
      <c r="G47" s="4" t="n">
        <v>-1519.18</v>
      </c>
      <c r="H47" s="0" t="n">
        <f aca="false">D47/40000*G47</f>
        <v>26.8515065</v>
      </c>
      <c r="I47" s="0" t="n">
        <f aca="false">F47/400000*G47</f>
        <v>1350.55102</v>
      </c>
    </row>
    <row r="48" customFormat="false" ht="15.75" hidden="false" customHeight="false" outlineLevel="0" collapsed="false">
      <c r="A48" s="1" t="s">
        <v>54</v>
      </c>
      <c r="B48" s="2" t="n">
        <v>92307</v>
      </c>
      <c r="C48" s="0" t="n">
        <v>446000</v>
      </c>
      <c r="D48" s="2" t="n">
        <v>-420</v>
      </c>
      <c r="E48" s="2" t="n">
        <f aca="false">C48-B48</f>
        <v>353693</v>
      </c>
      <c r="F48" s="2" t="n">
        <f aca="false">D48-E48</f>
        <v>-354113</v>
      </c>
      <c r="G48" s="3" t="n">
        <v>-1529.5</v>
      </c>
      <c r="H48" s="0" t="n">
        <f aca="false">D48/40000*G48</f>
        <v>16.05975</v>
      </c>
      <c r="I48" s="0" t="n">
        <f aca="false">F48/400000*G48</f>
        <v>1354.03958375</v>
      </c>
    </row>
    <row r="49" customFormat="false" ht="15.75" hidden="false" customHeight="false" outlineLevel="0" collapsed="false">
      <c r="A49" s="1" t="s">
        <v>55</v>
      </c>
      <c r="B49" s="2" t="n">
        <v>84580</v>
      </c>
      <c r="C49" s="0" t="n">
        <v>449000</v>
      </c>
      <c r="D49" s="2" t="n">
        <v>-354</v>
      </c>
      <c r="E49" s="2" t="n">
        <f aca="false">C49-B49</f>
        <v>364420</v>
      </c>
      <c r="F49" s="2" t="n">
        <f aca="false">D49-E49</f>
        <v>-364774</v>
      </c>
      <c r="G49" s="4" t="n">
        <v>-1539.55</v>
      </c>
      <c r="H49" s="0" t="n">
        <f aca="false">D49/40000*G49</f>
        <v>13.6250175</v>
      </c>
      <c r="I49" s="0" t="n">
        <f aca="false">F49/400000*G49</f>
        <v>1403.96952925</v>
      </c>
    </row>
    <row r="50" customFormat="false" ht="15.75" hidden="false" customHeight="false" outlineLevel="0" collapsed="false">
      <c r="A50" s="1" t="s">
        <v>56</v>
      </c>
      <c r="B50" s="2" t="n">
        <v>79340</v>
      </c>
      <c r="C50" s="0" t="n">
        <v>450000</v>
      </c>
      <c r="D50" s="2" t="n">
        <v>1027</v>
      </c>
      <c r="E50" s="2" t="n">
        <f aca="false">C50-B50</f>
        <v>370660</v>
      </c>
      <c r="F50" s="2" t="n">
        <f aca="false">D50-E50</f>
        <v>-369633</v>
      </c>
      <c r="G50" s="3" t="n">
        <v>-1596.73</v>
      </c>
      <c r="H50" s="0" t="n">
        <f aca="false">D50/40000*G50</f>
        <v>-40.99604275</v>
      </c>
      <c r="I50" s="0" t="n">
        <f aca="false">F50/400000*G50</f>
        <v>1475.510250225</v>
      </c>
    </row>
    <row r="51" customFormat="false" ht="15.75" hidden="false" customHeight="false" outlineLevel="0" collapsed="false">
      <c r="A51" s="1" t="s">
        <v>57</v>
      </c>
      <c r="B51" s="2" t="n">
        <v>73033</v>
      </c>
      <c r="C51" s="0" t="n">
        <v>449000</v>
      </c>
      <c r="D51" s="2" t="n">
        <v>235</v>
      </c>
      <c r="E51" s="2" t="n">
        <f aca="false">C51-B51</f>
        <v>375967</v>
      </c>
      <c r="F51" s="2" t="n">
        <f aca="false">D51-E51</f>
        <v>-375732</v>
      </c>
      <c r="G51" s="4" t="n">
        <v>-1603.18</v>
      </c>
      <c r="H51" s="0" t="n">
        <f aca="false">D51/40000*G51</f>
        <v>-9.4186825</v>
      </c>
      <c r="I51" s="0" t="n">
        <f aca="false">F51/400000*G51</f>
        <v>1505.9150694</v>
      </c>
    </row>
    <row r="52" customFormat="false" ht="15.75" hidden="false" customHeight="false" outlineLevel="0" collapsed="false">
      <c r="A52" s="1" t="s">
        <v>58</v>
      </c>
      <c r="B52" s="2" t="n">
        <v>81607</v>
      </c>
      <c r="C52" s="0" t="n">
        <v>446000</v>
      </c>
      <c r="D52" s="2" t="n">
        <v>643</v>
      </c>
      <c r="E52" s="2" t="n">
        <f aca="false">C52-B52</f>
        <v>364393</v>
      </c>
      <c r="F52" s="2" t="n">
        <f aca="false">D52-E52</f>
        <v>-363750</v>
      </c>
      <c r="G52" s="3" t="n">
        <v>-1619.18</v>
      </c>
      <c r="H52" s="0" t="n">
        <f aca="false">D52/40000*G52</f>
        <v>-26.0283185</v>
      </c>
      <c r="I52" s="0" t="n">
        <f aca="false">F52/400000*G52</f>
        <v>1472.4418125</v>
      </c>
    </row>
    <row r="53" customFormat="false" ht="15.75" hidden="false" customHeight="false" outlineLevel="0" collapsed="false">
      <c r="A53" s="1" t="s">
        <v>59</v>
      </c>
      <c r="B53" s="2" t="n">
        <v>76687</v>
      </c>
      <c r="C53" s="0" t="n">
        <v>442000</v>
      </c>
      <c r="D53" s="2" t="n">
        <v>178</v>
      </c>
      <c r="E53" s="2" t="n">
        <f aca="false">C53-B53</f>
        <v>365313</v>
      </c>
      <c r="F53" s="2" t="n">
        <f aca="false">D53-E53</f>
        <v>-365135</v>
      </c>
      <c r="G53" s="4" t="n">
        <v>-1603.18</v>
      </c>
      <c r="H53" s="0" t="n">
        <f aca="false">D53/40000*G53</f>
        <v>-7.134151</v>
      </c>
      <c r="I53" s="0" t="n">
        <f aca="false">F53/400000*G53</f>
        <v>1463.44282325</v>
      </c>
    </row>
    <row r="54" customFormat="false" ht="15.75" hidden="false" customHeight="false" outlineLevel="0" collapsed="false">
      <c r="A54" s="1" t="s">
        <v>60</v>
      </c>
      <c r="B54" s="2" t="n">
        <v>74300</v>
      </c>
      <c r="C54" s="0" t="n">
        <v>437000</v>
      </c>
      <c r="D54" s="2" t="n">
        <v>259</v>
      </c>
      <c r="E54" s="2" t="n">
        <f aca="false">C54-B54</f>
        <v>362700</v>
      </c>
      <c r="F54" s="2" t="n">
        <f aca="false">D54-E54</f>
        <v>-362441</v>
      </c>
      <c r="G54" s="3" t="n">
        <v>-1179.18</v>
      </c>
      <c r="H54" s="0" t="n">
        <f aca="false">D54/40000*G54</f>
        <v>-7.6351905</v>
      </c>
      <c r="I54" s="0" t="n">
        <f aca="false">F54/400000*G54</f>
        <v>1068.45794595</v>
      </c>
    </row>
    <row r="55" customFormat="false" ht="15.75" hidden="false" customHeight="false" outlineLevel="0" collapsed="false">
      <c r="A55" s="1" t="s">
        <v>61</v>
      </c>
      <c r="B55" s="2" t="n">
        <v>71433</v>
      </c>
      <c r="C55" s="0" t="n">
        <v>431000</v>
      </c>
      <c r="D55" s="2" t="n">
        <v>242</v>
      </c>
      <c r="E55" s="2" t="n">
        <f aca="false">C55-B55</f>
        <v>359567</v>
      </c>
      <c r="F55" s="2" t="n">
        <f aca="false">D55-E55</f>
        <v>-359325</v>
      </c>
      <c r="G55" s="4" t="n">
        <v>-1179.18</v>
      </c>
      <c r="H55" s="0" t="n">
        <f aca="false">D55/40000*G55</f>
        <v>-7.134039</v>
      </c>
      <c r="I55" s="0" t="n">
        <f aca="false">F55/400000*G55</f>
        <v>1059.27213375</v>
      </c>
    </row>
    <row r="56" customFormat="false" ht="15.75" hidden="false" customHeight="false" outlineLevel="0" collapsed="false">
      <c r="A56" s="1" t="s">
        <v>62</v>
      </c>
      <c r="B56" s="2" t="n">
        <v>78873</v>
      </c>
      <c r="C56" s="0" t="n">
        <v>423000</v>
      </c>
      <c r="D56" s="2" t="n">
        <v>-564</v>
      </c>
      <c r="E56" s="2" t="n">
        <f aca="false">C56-B56</f>
        <v>344127</v>
      </c>
      <c r="F56" s="2" t="n">
        <f aca="false">D56-E56</f>
        <v>-344691</v>
      </c>
      <c r="G56" s="3" t="n">
        <v>-1168.18</v>
      </c>
      <c r="H56" s="0" t="n">
        <f aca="false">D56/40000*G56</f>
        <v>16.471338</v>
      </c>
      <c r="I56" s="0" t="n">
        <f aca="false">F56/400000*G56</f>
        <v>1006.65283095</v>
      </c>
    </row>
    <row r="57" customFormat="false" ht="15.75" hidden="false" customHeight="false" outlineLevel="0" collapsed="false">
      <c r="A57" s="1" t="s">
        <v>63</v>
      </c>
      <c r="B57" s="2" t="n">
        <v>81613</v>
      </c>
      <c r="C57" s="0" t="n">
        <v>414000</v>
      </c>
      <c r="D57" s="2" t="n">
        <v>971</v>
      </c>
      <c r="E57" s="2" t="n">
        <f aca="false">C57-B57</f>
        <v>332387</v>
      </c>
      <c r="F57" s="2" t="n">
        <f aca="false">D57-E57</f>
        <v>-331416</v>
      </c>
      <c r="G57" s="4" t="n">
        <v>-1168.18</v>
      </c>
      <c r="H57" s="0" t="n">
        <f aca="false">D57/40000*G57</f>
        <v>-28.3575695</v>
      </c>
      <c r="I57" s="0" t="n">
        <f aca="false">F57/400000*G57</f>
        <v>967.8838572</v>
      </c>
    </row>
    <row r="58" customFormat="false" ht="15.75" hidden="false" customHeight="false" outlineLevel="0" collapsed="false">
      <c r="A58" s="1" t="s">
        <v>64</v>
      </c>
      <c r="B58" s="2" t="n">
        <v>75660</v>
      </c>
      <c r="C58" s="0" t="n">
        <v>403000</v>
      </c>
      <c r="D58" s="2" t="n">
        <v>2541</v>
      </c>
      <c r="E58" s="2" t="n">
        <f aca="false">C58-B58</f>
        <v>327340</v>
      </c>
      <c r="F58" s="2" t="n">
        <f aca="false">D58-E58</f>
        <v>-324799</v>
      </c>
      <c r="G58" s="3" t="n">
        <v>-1445.07</v>
      </c>
      <c r="H58" s="0" t="n">
        <f aca="false">D58/40000*G58</f>
        <v>-91.79807175</v>
      </c>
      <c r="I58" s="0" t="n">
        <f aca="false">F58/400000*G58</f>
        <v>1173.393227325</v>
      </c>
    </row>
    <row r="59" customFormat="false" ht="15.75" hidden="false" customHeight="false" outlineLevel="0" collapsed="false">
      <c r="A59" s="1" t="s">
        <v>65</v>
      </c>
      <c r="B59" s="2" t="n">
        <v>72947</v>
      </c>
      <c r="C59" s="0" t="n">
        <v>391000</v>
      </c>
      <c r="D59" s="2" t="n">
        <v>180</v>
      </c>
      <c r="E59" s="2" t="n">
        <f aca="false">C59-B59</f>
        <v>318053</v>
      </c>
      <c r="F59" s="2" t="n">
        <f aca="false">D59-E59</f>
        <v>-317873</v>
      </c>
      <c r="G59" s="4" t="n">
        <v>-1445.18</v>
      </c>
      <c r="H59" s="0" t="n">
        <f aca="false">D59/40000*G59</f>
        <v>-6.50331</v>
      </c>
      <c r="I59" s="0" t="n">
        <f aca="false">F59/400000*G59</f>
        <v>1148.45925535</v>
      </c>
    </row>
    <row r="60" customFormat="false" ht="15.75" hidden="false" customHeight="false" outlineLevel="0" collapsed="false">
      <c r="A60" s="1" t="s">
        <v>66</v>
      </c>
      <c r="B60" s="2" t="n">
        <v>76787</v>
      </c>
      <c r="C60" s="0" t="n">
        <v>377000</v>
      </c>
      <c r="D60" s="2" t="n">
        <v>816</v>
      </c>
      <c r="E60" s="2" t="n">
        <f aca="false">C60-B60</f>
        <v>300213</v>
      </c>
      <c r="F60" s="2" t="n">
        <f aca="false">D60-E60</f>
        <v>-299397</v>
      </c>
      <c r="G60" s="3" t="n">
        <v>-1445.18</v>
      </c>
      <c r="H60" s="0" t="n">
        <f aca="false">D60/40000*G60</f>
        <v>-29.481672</v>
      </c>
      <c r="I60" s="0" t="n">
        <f aca="false">F60/400000*G60</f>
        <v>1081.70639115</v>
      </c>
    </row>
    <row r="61" customFormat="false" ht="15.75" hidden="false" customHeight="false" outlineLevel="0" collapsed="false">
      <c r="A61" s="1" t="s">
        <v>67</v>
      </c>
      <c r="B61" s="2" t="n">
        <v>82643</v>
      </c>
      <c r="C61" s="0" t="n">
        <v>362000</v>
      </c>
      <c r="D61" s="2" t="n">
        <v>-209</v>
      </c>
      <c r="E61" s="2" t="n">
        <f aca="false">C61-B61</f>
        <v>279357</v>
      </c>
      <c r="F61" s="2" t="n">
        <f aca="false">D61-E61</f>
        <v>-279566</v>
      </c>
      <c r="G61" s="4" t="n">
        <v>-1445.09</v>
      </c>
      <c r="H61" s="0" t="n">
        <f aca="false">D61/40000*G61</f>
        <v>7.55059525</v>
      </c>
      <c r="I61" s="0" t="n">
        <f aca="false">F61/400000*G61</f>
        <v>1009.99507735</v>
      </c>
    </row>
    <row r="62" customFormat="false" ht="15.75" hidden="false" customHeight="false" outlineLevel="0" collapsed="false">
      <c r="A62" s="1" t="s">
        <v>68</v>
      </c>
      <c r="B62" s="2" t="n">
        <v>75863</v>
      </c>
      <c r="C62" s="0" t="n">
        <v>347000</v>
      </c>
      <c r="D62" s="2" t="n">
        <v>1865</v>
      </c>
      <c r="E62" s="2" t="n">
        <f aca="false">C62-B62</f>
        <v>271137</v>
      </c>
      <c r="F62" s="2" t="n">
        <f aca="false">D62-E62</f>
        <v>-269272</v>
      </c>
      <c r="G62" s="3" t="n">
        <v>-1672.18</v>
      </c>
      <c r="H62" s="0" t="n">
        <f aca="false">D62/40000*G62</f>
        <v>-77.9653925</v>
      </c>
      <c r="I62" s="0" t="n">
        <f aca="false">F62/400000*G62</f>
        <v>1125.6781324</v>
      </c>
    </row>
    <row r="63" customFormat="false" ht="15.75" hidden="false" customHeight="false" outlineLevel="0" collapsed="false">
      <c r="A63" s="1" t="s">
        <v>69</v>
      </c>
      <c r="B63" s="2" t="n">
        <v>76707</v>
      </c>
      <c r="C63" s="0" t="n">
        <v>332000</v>
      </c>
      <c r="D63" s="2" t="n">
        <v>1160</v>
      </c>
      <c r="E63" s="2" t="n">
        <f aca="false">C63-B63</f>
        <v>255293</v>
      </c>
      <c r="F63" s="2" t="n">
        <f aca="false">D63-E63</f>
        <v>-254133</v>
      </c>
      <c r="G63" s="4" t="n">
        <v>-1672.18</v>
      </c>
      <c r="H63" s="0" t="n">
        <f aca="false">D63/40000*G63</f>
        <v>-48.49322</v>
      </c>
      <c r="I63" s="0" t="n">
        <f aca="false">F63/400000*G63</f>
        <v>1062.39029985</v>
      </c>
    </row>
    <row r="64" customFormat="false" ht="15.75" hidden="false" customHeight="false" outlineLevel="0" collapsed="false">
      <c r="A64" s="1" t="s">
        <v>70</v>
      </c>
      <c r="B64" s="2" t="n">
        <v>77440</v>
      </c>
      <c r="C64" s="0" t="n">
        <v>317000</v>
      </c>
      <c r="D64" s="2" t="n">
        <v>333</v>
      </c>
      <c r="E64" s="2" t="n">
        <f aca="false">C64-B64</f>
        <v>239560</v>
      </c>
      <c r="F64" s="2" t="n">
        <f aca="false">D64-E64</f>
        <v>-239227</v>
      </c>
      <c r="G64" s="3" t="n">
        <v>-1672.18</v>
      </c>
      <c r="H64" s="0" t="n">
        <f aca="false">D64/40000*G64</f>
        <v>-13.9208985</v>
      </c>
      <c r="I64" s="0" t="n">
        <f aca="false">F64/400000*G64</f>
        <v>1000.07651215</v>
      </c>
    </row>
    <row r="65" customFormat="false" ht="15.75" hidden="false" customHeight="false" outlineLevel="0" collapsed="false">
      <c r="A65" s="1" t="s">
        <v>71</v>
      </c>
      <c r="B65" s="2" t="n">
        <v>76280</v>
      </c>
      <c r="C65" s="0" t="n">
        <v>301000</v>
      </c>
      <c r="D65" s="2" t="n">
        <v>345</v>
      </c>
      <c r="E65" s="2" t="n">
        <f aca="false">C65-B65</f>
        <v>224720</v>
      </c>
      <c r="F65" s="2" t="n">
        <f aca="false">D65-E65</f>
        <v>-224375</v>
      </c>
      <c r="G65" s="4" t="n">
        <v>-1672.18</v>
      </c>
      <c r="H65" s="0" t="n">
        <f aca="false">D65/40000*G65</f>
        <v>-14.4225525</v>
      </c>
      <c r="I65" s="0" t="n">
        <f aca="false">F65/400000*G65</f>
        <v>937.98846875</v>
      </c>
    </row>
    <row r="66" customFormat="false" ht="15.75" hidden="false" customHeight="false" outlineLevel="0" collapsed="false">
      <c r="A66" s="1" t="s">
        <v>72</v>
      </c>
      <c r="B66" s="2" t="n">
        <v>76647</v>
      </c>
      <c r="C66" s="0" t="n">
        <v>284000</v>
      </c>
      <c r="D66" s="2" t="n">
        <v>-242</v>
      </c>
      <c r="E66" s="2" t="n">
        <f aca="false">C66-B66</f>
        <v>207353</v>
      </c>
      <c r="F66" s="2" t="n">
        <f aca="false">D66-E66</f>
        <v>-207595</v>
      </c>
      <c r="G66" s="3" t="n">
        <v>-2227.18</v>
      </c>
      <c r="H66" s="0" t="n">
        <f aca="false">D66/40000*G66</f>
        <v>13.474439</v>
      </c>
      <c r="I66" s="0" t="n">
        <f aca="false">F66/400000*G66</f>
        <v>1155.87858025</v>
      </c>
    </row>
    <row r="67" customFormat="false" ht="15.75" hidden="false" customHeight="false" outlineLevel="0" collapsed="false">
      <c r="A67" s="1" t="s">
        <v>73</v>
      </c>
      <c r="B67" s="2" t="n">
        <v>75767</v>
      </c>
      <c r="C67" s="0" t="n">
        <v>266000</v>
      </c>
      <c r="D67" s="2" t="n">
        <v>-1495</v>
      </c>
      <c r="E67" s="2" t="n">
        <f aca="false">C67-B67</f>
        <v>190233</v>
      </c>
      <c r="F67" s="2" t="n">
        <f aca="false">D67-E67</f>
        <v>-191728</v>
      </c>
      <c r="G67" s="4" t="n">
        <v>-2227.18</v>
      </c>
      <c r="H67" s="0" t="n">
        <f aca="false">D67/40000*G67</f>
        <v>83.2408525</v>
      </c>
      <c r="I67" s="0" t="n">
        <f aca="false">F67/400000*G67</f>
        <v>1067.5319176</v>
      </c>
    </row>
    <row r="68" customFormat="false" ht="15.75" hidden="false" customHeight="false" outlineLevel="0" collapsed="false">
      <c r="A68" s="1" t="s">
        <v>74</v>
      </c>
      <c r="B68" s="2" t="n">
        <v>82600</v>
      </c>
      <c r="C68" s="0" t="n">
        <v>247000</v>
      </c>
      <c r="D68" s="2" t="n">
        <v>-1691</v>
      </c>
      <c r="E68" s="2" t="n">
        <f aca="false">C68-B68</f>
        <v>164400</v>
      </c>
      <c r="F68" s="2" t="n">
        <f aca="false">D68-E68</f>
        <v>-166091</v>
      </c>
      <c r="G68" s="3" t="n">
        <v>-768.56</v>
      </c>
      <c r="H68" s="0" t="n">
        <f aca="false">D68/40000*G68</f>
        <v>32.490874</v>
      </c>
      <c r="I68" s="0" t="n">
        <f aca="false">F68/400000*G68</f>
        <v>319.1272474</v>
      </c>
    </row>
    <row r="69" customFormat="false" ht="15.75" hidden="false" customHeight="false" outlineLevel="0" collapsed="false">
      <c r="A69" s="1" t="s">
        <v>75</v>
      </c>
      <c r="B69" s="2" t="n">
        <v>74825</v>
      </c>
      <c r="C69" s="0" t="n">
        <v>227000</v>
      </c>
      <c r="D69" s="2" t="n">
        <v>-99</v>
      </c>
      <c r="E69" s="2" t="n">
        <f aca="false">C69-B69</f>
        <v>152175</v>
      </c>
      <c r="F69" s="2" t="n">
        <f aca="false">D69-E69</f>
        <v>-152274</v>
      </c>
      <c r="G69" s="4" t="n">
        <v>-768.56</v>
      </c>
      <c r="H69" s="0" t="n">
        <f aca="false">D69/40000*G69</f>
        <v>1.902186</v>
      </c>
      <c r="I69" s="0" t="n">
        <f aca="false">F69/400000*G69</f>
        <v>292.5792636</v>
      </c>
    </row>
    <row r="70" customFormat="false" ht="15.75" hidden="false" customHeight="false" outlineLevel="0" collapsed="false">
      <c r="A70" s="1" t="s">
        <v>76</v>
      </c>
      <c r="B70" s="2" t="n">
        <v>78347</v>
      </c>
      <c r="C70" s="0" t="n">
        <v>206000</v>
      </c>
      <c r="D70" s="2" t="n">
        <v>460</v>
      </c>
      <c r="E70" s="2" t="n">
        <f aca="false">C70-B70</f>
        <v>127653</v>
      </c>
      <c r="F70" s="2" t="n">
        <f aca="false">D70-E70</f>
        <v>-127193</v>
      </c>
      <c r="G70" s="3" t="n">
        <v>-2890.18</v>
      </c>
      <c r="H70" s="0" t="n">
        <f aca="false">D70/40000*G70</f>
        <v>-33.23707</v>
      </c>
      <c r="I70" s="0" t="n">
        <f aca="false">F70/400000*G70</f>
        <v>919.02666185</v>
      </c>
    </row>
    <row r="71" customFormat="false" ht="15.75" hidden="false" customHeight="false" outlineLevel="0" collapsed="false">
      <c r="A71" s="1" t="s">
        <v>77</v>
      </c>
      <c r="B71" s="2" t="n">
        <v>75113</v>
      </c>
      <c r="C71" s="0" t="n">
        <v>184000</v>
      </c>
      <c r="D71" s="2" t="n">
        <v>-1522</v>
      </c>
      <c r="E71" s="2" t="n">
        <f aca="false">C71-B71</f>
        <v>108887</v>
      </c>
      <c r="F71" s="2" t="n">
        <f aca="false">D71-E71</f>
        <v>-110409</v>
      </c>
      <c r="G71" s="4" t="n">
        <v>-2890.18</v>
      </c>
      <c r="H71" s="0" t="n">
        <f aca="false">D71/40000*G71</f>
        <v>109.971349</v>
      </c>
      <c r="I71" s="0" t="n">
        <f aca="false">F71/400000*G71</f>
        <v>797.75470905</v>
      </c>
    </row>
    <row r="72" customFormat="false" ht="15.75" hidden="false" customHeight="false" outlineLevel="0" collapsed="false">
      <c r="A72" s="1" t="s">
        <v>78</v>
      </c>
      <c r="B72" s="2" t="n">
        <v>80287</v>
      </c>
      <c r="C72" s="0" t="n">
        <v>162000</v>
      </c>
      <c r="D72" s="2" t="n">
        <v>-1469</v>
      </c>
      <c r="E72" s="2" t="n">
        <f aca="false">C72-B72</f>
        <v>81713</v>
      </c>
      <c r="F72" s="2" t="n">
        <f aca="false">D72-E72</f>
        <v>-83182</v>
      </c>
      <c r="G72" s="3" t="n">
        <v>-17.15</v>
      </c>
      <c r="H72" s="0" t="n">
        <f aca="false">D72/40000*G72</f>
        <v>0.62983375</v>
      </c>
      <c r="I72" s="0" t="n">
        <f aca="false">F72/400000*G72</f>
        <v>3.56642825</v>
      </c>
    </row>
    <row r="73" customFormat="false" ht="15.75" hidden="false" customHeight="false" outlineLevel="0" collapsed="false">
      <c r="A73" s="1" t="s">
        <v>79</v>
      </c>
      <c r="B73" s="2" t="n">
        <v>74713</v>
      </c>
      <c r="C73" s="0" t="n">
        <v>140000</v>
      </c>
      <c r="D73" s="2" t="n">
        <v>551</v>
      </c>
      <c r="E73" s="2" t="n">
        <f aca="false">C73-B73</f>
        <v>65287</v>
      </c>
      <c r="F73" s="2" t="n">
        <f aca="false">D73-E73</f>
        <v>-64736</v>
      </c>
      <c r="G73" s="4" t="n">
        <v>-33.66</v>
      </c>
      <c r="H73" s="0" t="n">
        <f aca="false">D73/40000*G73</f>
        <v>-0.4636665</v>
      </c>
      <c r="I73" s="0" t="n">
        <f aca="false">F73/400000*G73</f>
        <v>5.4475344</v>
      </c>
    </row>
    <row r="74" customFormat="false" ht="15.75" hidden="false" customHeight="false" outlineLevel="0" collapsed="false">
      <c r="A74" s="1" t="s">
        <v>80</v>
      </c>
      <c r="B74" s="2" t="n">
        <v>79453</v>
      </c>
      <c r="C74" s="0" t="n">
        <v>118000</v>
      </c>
      <c r="D74" s="2" t="n">
        <v>440</v>
      </c>
      <c r="E74" s="2" t="n">
        <f aca="false">C74-B74</f>
        <v>38547</v>
      </c>
      <c r="F74" s="2" t="n">
        <f aca="false">D74-E74</f>
        <v>-38107</v>
      </c>
      <c r="G74" s="3" t="n">
        <v>584.83</v>
      </c>
      <c r="H74" s="0" t="n">
        <f aca="false">D74/40000*G74</f>
        <v>6.43313</v>
      </c>
      <c r="I74" s="0" t="n">
        <f aca="false">F74/400000*G74</f>
        <v>-55.715292025</v>
      </c>
    </row>
    <row r="75" customFormat="false" ht="15.75" hidden="false" customHeight="false" outlineLevel="0" collapsed="false">
      <c r="A75" s="1" t="s">
        <v>81</v>
      </c>
      <c r="B75" s="2" t="n">
        <v>51529</v>
      </c>
      <c r="C75" s="0" t="n">
        <v>96000</v>
      </c>
      <c r="D75" s="2" t="n">
        <v>22809</v>
      </c>
      <c r="E75" s="2" t="n">
        <f aca="false">C75-B75</f>
        <v>44471</v>
      </c>
      <c r="F75" s="2" t="n">
        <f aca="false">D75-E75</f>
        <v>-21662</v>
      </c>
      <c r="G75" s="4" t="n">
        <v>488.93</v>
      </c>
      <c r="H75" s="0" t="n">
        <f aca="false">D75/40000*G75</f>
        <v>278.80010925</v>
      </c>
      <c r="I75" s="0" t="n">
        <f aca="false">F75/400000*G75</f>
        <v>-26.47800415</v>
      </c>
    </row>
    <row r="76" customFormat="false" ht="15.75" hidden="false" customHeight="false" outlineLevel="0" collapsed="false">
      <c r="A76" s="1" t="s">
        <v>82</v>
      </c>
      <c r="B76" s="2" t="n">
        <v>27338</v>
      </c>
      <c r="C76" s="0" t="n">
        <v>76000</v>
      </c>
      <c r="D76" s="2" t="n">
        <v>30290</v>
      </c>
      <c r="E76" s="2" t="n">
        <f aca="false">C76-B76</f>
        <v>48662</v>
      </c>
      <c r="F76" s="2" t="n">
        <f aca="false">D76-E76</f>
        <v>-18372</v>
      </c>
      <c r="G76" s="3" t="n">
        <v>541.3</v>
      </c>
      <c r="H76" s="0" t="n">
        <f aca="false">D76/40000*G76</f>
        <v>409.899425</v>
      </c>
      <c r="I76" s="0" t="n">
        <f aca="false">F76/400000*G76</f>
        <v>-24.861909</v>
      </c>
    </row>
    <row r="77" customFormat="false" ht="15.75" hidden="false" customHeight="false" outlineLevel="0" collapsed="false">
      <c r="A77" s="1" t="s">
        <v>83</v>
      </c>
      <c r="B77" s="2" t="n">
        <v>15220</v>
      </c>
      <c r="C77" s="0" t="n">
        <v>58000</v>
      </c>
      <c r="D77" s="2" t="n">
        <v>30188</v>
      </c>
      <c r="E77" s="2" t="n">
        <f aca="false">C77-B77</f>
        <v>42780</v>
      </c>
      <c r="F77" s="2" t="n">
        <f aca="false">D77-E77</f>
        <v>-12592</v>
      </c>
      <c r="G77" s="4" t="n">
        <v>584.03</v>
      </c>
      <c r="H77" s="0" t="n">
        <f aca="false">D77/40000*G77</f>
        <v>440.767441</v>
      </c>
      <c r="I77" s="0" t="n">
        <f aca="false">F77/400000*G77</f>
        <v>-18.3852644</v>
      </c>
    </row>
    <row r="78" customFormat="false" ht="15.75" hidden="false" customHeight="false" outlineLevel="0" collapsed="false">
      <c r="A78" s="1" t="s">
        <v>84</v>
      </c>
      <c r="B78" s="2" t="n">
        <v>5727</v>
      </c>
      <c r="C78" s="0" t="n">
        <v>42000</v>
      </c>
      <c r="D78" s="2" t="n">
        <v>29794</v>
      </c>
      <c r="E78" s="2" t="n">
        <f aca="false">C78-B78</f>
        <v>36273</v>
      </c>
      <c r="F78" s="2" t="n">
        <f aca="false">D78-E78</f>
        <v>-6479</v>
      </c>
      <c r="G78" s="3" t="n">
        <v>623.77</v>
      </c>
      <c r="H78" s="0" t="n">
        <f aca="false">D78/40000*G78</f>
        <v>464.6150845</v>
      </c>
      <c r="I78" s="0" t="n">
        <f aca="false">F78/400000*G78</f>
        <v>-10.103514575</v>
      </c>
    </row>
    <row r="79" customFormat="false" ht="15.75" hidden="false" customHeight="false" outlineLevel="0" collapsed="false">
      <c r="A79" s="1" t="s">
        <v>85</v>
      </c>
      <c r="B79" s="2" t="n">
        <v>213</v>
      </c>
      <c r="C79" s="0" t="n">
        <v>29000</v>
      </c>
      <c r="D79" s="2" t="n">
        <v>29987</v>
      </c>
      <c r="E79" s="2" t="n">
        <f aca="false">C79-B79</f>
        <v>28787</v>
      </c>
      <c r="F79" s="2" t="n">
        <f aca="false">D79-E79</f>
        <v>1200</v>
      </c>
      <c r="G79" s="4" t="n">
        <v>546.65</v>
      </c>
      <c r="H79" s="0" t="n">
        <f aca="false">D79/40000*G79</f>
        <v>409.80983875</v>
      </c>
      <c r="I79" s="0" t="n">
        <f aca="false">F79/400000*G79</f>
        <v>1.63995</v>
      </c>
    </row>
    <row r="80" customFormat="false" ht="15.75" hidden="false" customHeight="false" outlineLevel="0" collapsed="false">
      <c r="A80" s="1" t="s">
        <v>86</v>
      </c>
      <c r="B80" s="2" t="n">
        <v>0</v>
      </c>
      <c r="C80" s="0" t="n">
        <v>18000</v>
      </c>
      <c r="D80" s="2" t="n">
        <v>30027</v>
      </c>
      <c r="E80" s="2" t="n">
        <f aca="false">C80-B80</f>
        <v>18000</v>
      </c>
      <c r="F80" s="2" t="n">
        <f aca="false">D80-E80</f>
        <v>12027</v>
      </c>
      <c r="G80" s="3" t="n">
        <v>516.04</v>
      </c>
      <c r="H80" s="0" t="n">
        <f aca="false">D80/40000*G80</f>
        <v>387.378327</v>
      </c>
      <c r="I80" s="0" t="n">
        <f aca="false">F80/400000*G80</f>
        <v>15.5160327</v>
      </c>
    </row>
    <row r="81" customFormat="false" ht="15.75" hidden="false" customHeight="false" outlineLevel="0" collapsed="false">
      <c r="A81" s="1" t="s">
        <v>87</v>
      </c>
      <c r="B81" s="2" t="n">
        <v>0</v>
      </c>
      <c r="C81" s="0" t="n">
        <v>9500</v>
      </c>
      <c r="D81" s="2" t="n">
        <v>30268</v>
      </c>
      <c r="E81" s="2" t="n">
        <f aca="false">C81-B81</f>
        <v>9500</v>
      </c>
      <c r="F81" s="2" t="n">
        <f aca="false">D81-E81</f>
        <v>20768</v>
      </c>
      <c r="G81" s="4" t="n">
        <v>597.2</v>
      </c>
      <c r="H81" s="0" t="n">
        <f aca="false">D81/40000*G81</f>
        <v>451.90124</v>
      </c>
      <c r="I81" s="0" t="n">
        <f aca="false">F81/400000*G81</f>
        <v>31.006624</v>
      </c>
    </row>
    <row r="82" customFormat="false" ht="15.75" hidden="false" customHeight="false" outlineLevel="0" collapsed="false">
      <c r="A82" s="1" t="s">
        <v>88</v>
      </c>
      <c r="B82" s="2" t="n">
        <v>0</v>
      </c>
      <c r="C82" s="0" t="n">
        <v>3900</v>
      </c>
      <c r="D82" s="2" t="n">
        <v>29962</v>
      </c>
      <c r="E82" s="2" t="n">
        <f aca="false">C82-B82</f>
        <v>3900</v>
      </c>
      <c r="F82" s="2" t="n">
        <f aca="false">D82-E82</f>
        <v>26062</v>
      </c>
      <c r="G82" s="3" t="n">
        <v>611.2</v>
      </c>
      <c r="H82" s="0" t="n">
        <f aca="false">D82/40000*G82</f>
        <v>457.81936</v>
      </c>
      <c r="I82" s="0" t="n">
        <f aca="false">F82/400000*G82</f>
        <v>39.822736</v>
      </c>
    </row>
    <row r="83" customFormat="false" ht="15.75" hidden="false" customHeight="false" outlineLevel="0" collapsed="false">
      <c r="A83" s="1" t="s">
        <v>89</v>
      </c>
      <c r="B83" s="2" t="n">
        <v>0</v>
      </c>
      <c r="C83" s="0" t="n">
        <v>0</v>
      </c>
      <c r="D83" s="2" t="n">
        <v>29358</v>
      </c>
      <c r="E83" s="2" t="n">
        <f aca="false">C83-B83</f>
        <v>0</v>
      </c>
      <c r="F83" s="2" t="n">
        <f aca="false">D83-E83</f>
        <v>29358</v>
      </c>
      <c r="G83" s="4" t="n">
        <v>543.98</v>
      </c>
      <c r="H83" s="0" t="n">
        <f aca="false">D83/40000*G83</f>
        <v>399.254121</v>
      </c>
      <c r="I83" s="0" t="n">
        <f aca="false">F83/400000*G83</f>
        <v>39.9254121</v>
      </c>
    </row>
    <row r="84" customFormat="false" ht="15.75" hidden="false" customHeight="false" outlineLevel="0" collapsed="false">
      <c r="A84" s="1" t="s">
        <v>90</v>
      </c>
      <c r="B84" s="2" t="n">
        <v>0</v>
      </c>
      <c r="C84" s="0" t="n">
        <v>0</v>
      </c>
      <c r="D84" s="2" t="n">
        <v>29960</v>
      </c>
      <c r="E84" s="2" t="n">
        <f aca="false">C84-B84</f>
        <v>0</v>
      </c>
      <c r="F84" s="2" t="n">
        <f aca="false">D84-E84</f>
        <v>29960</v>
      </c>
      <c r="G84" s="3" t="n">
        <v>518.13</v>
      </c>
      <c r="H84" s="0" t="n">
        <f aca="false">D84/40000*G84</f>
        <v>388.07937</v>
      </c>
      <c r="I84" s="0" t="n">
        <f aca="false">F84/400000*G84</f>
        <v>38.807937</v>
      </c>
    </row>
    <row r="85" customFormat="false" ht="15.75" hidden="false" customHeight="false" outlineLevel="0" collapsed="false">
      <c r="A85" s="1" t="s">
        <v>91</v>
      </c>
      <c r="B85" s="2" t="n">
        <v>0</v>
      </c>
      <c r="C85" s="0" t="n">
        <v>0</v>
      </c>
      <c r="D85" s="2" t="n">
        <v>29515</v>
      </c>
      <c r="E85" s="2" t="n">
        <f aca="false">C85-B85</f>
        <v>0</v>
      </c>
      <c r="F85" s="2" t="n">
        <f aca="false">D85-E85</f>
        <v>29515</v>
      </c>
      <c r="G85" s="4" t="n">
        <v>454.62</v>
      </c>
      <c r="H85" s="0" t="n">
        <f aca="false">D85/40000*G85</f>
        <v>335.4527325</v>
      </c>
      <c r="I85" s="0" t="n">
        <f aca="false">F85/400000*G85</f>
        <v>33.54527325</v>
      </c>
    </row>
    <row r="86" customFormat="false" ht="15.75" hidden="false" customHeight="false" outlineLevel="0" collapsed="false">
      <c r="A86" s="1" t="s">
        <v>92</v>
      </c>
      <c r="B86" s="2" t="n">
        <v>0</v>
      </c>
      <c r="C86" s="0" t="n">
        <v>0</v>
      </c>
      <c r="D86" s="2" t="n">
        <v>29616</v>
      </c>
      <c r="E86" s="2" t="n">
        <f aca="false">C86-B86</f>
        <v>0</v>
      </c>
      <c r="F86" s="2" t="n">
        <f aca="false">D86-E86</f>
        <v>29616</v>
      </c>
      <c r="G86" s="3" t="n">
        <v>534.07</v>
      </c>
      <c r="H86" s="0" t="n">
        <f aca="false">D86/40000*G86</f>
        <v>395.425428</v>
      </c>
      <c r="I86" s="0" t="n">
        <f aca="false">F86/400000*G86</f>
        <v>39.5425428</v>
      </c>
    </row>
    <row r="87" customFormat="false" ht="15.75" hidden="false" customHeight="false" outlineLevel="0" collapsed="false">
      <c r="A87" s="1" t="s">
        <v>93</v>
      </c>
      <c r="B87" s="2" t="n">
        <v>0</v>
      </c>
      <c r="C87" s="0" t="n">
        <v>0</v>
      </c>
      <c r="D87" s="2" t="n">
        <v>30077</v>
      </c>
      <c r="E87" s="2" t="n">
        <f aca="false">C87-B87</f>
        <v>0</v>
      </c>
      <c r="F87" s="2" t="n">
        <f aca="false">D87-E87</f>
        <v>30077</v>
      </c>
      <c r="G87" s="4" t="n">
        <v>619.92</v>
      </c>
      <c r="H87" s="0" t="n">
        <f aca="false">D87/40000*G87</f>
        <v>466.133346</v>
      </c>
      <c r="I87" s="0" t="n">
        <f aca="false">F87/400000*G87</f>
        <v>46.6133346</v>
      </c>
    </row>
    <row r="88" customFormat="false" ht="15.75" hidden="false" customHeight="false" outlineLevel="0" collapsed="false">
      <c r="A88" s="1" t="s">
        <v>94</v>
      </c>
      <c r="B88" s="2" t="n">
        <v>0</v>
      </c>
      <c r="C88" s="0" t="n">
        <v>0</v>
      </c>
      <c r="D88" s="2" t="n">
        <v>29933</v>
      </c>
      <c r="E88" s="2" t="n">
        <f aca="false">C88-B88</f>
        <v>0</v>
      </c>
      <c r="F88" s="2" t="n">
        <f aca="false">D88-E88</f>
        <v>29933</v>
      </c>
      <c r="G88" s="3" t="n">
        <v>612.18</v>
      </c>
      <c r="H88" s="0" t="n">
        <f aca="false">D88/40000*G88</f>
        <v>458.1095985</v>
      </c>
      <c r="I88" s="0" t="n">
        <f aca="false">F88/400000*G88</f>
        <v>45.81095985</v>
      </c>
    </row>
    <row r="89" customFormat="false" ht="15.75" hidden="false" customHeight="false" outlineLevel="0" collapsed="false">
      <c r="A89" s="1" t="s">
        <v>95</v>
      </c>
      <c r="B89" s="2" t="n">
        <v>0</v>
      </c>
      <c r="C89" s="0" t="n">
        <v>0</v>
      </c>
      <c r="D89" s="2" t="n">
        <v>29806</v>
      </c>
      <c r="E89" s="2" t="n">
        <f aca="false">C89-B89</f>
        <v>0</v>
      </c>
      <c r="F89" s="2" t="n">
        <f aca="false">D89-E89</f>
        <v>29806</v>
      </c>
      <c r="G89" s="4" t="n">
        <v>584.01</v>
      </c>
      <c r="H89" s="0" t="n">
        <f aca="false">D89/40000*G89</f>
        <v>435.1750515</v>
      </c>
      <c r="I89" s="0" t="n">
        <f aca="false">F89/400000*G89</f>
        <v>43.51750515</v>
      </c>
    </row>
    <row r="90" customFormat="false" ht="15.75" hidden="false" customHeight="false" outlineLevel="0" collapsed="false">
      <c r="A90" s="1" t="s">
        <v>96</v>
      </c>
      <c r="B90" s="2" t="n">
        <v>0</v>
      </c>
      <c r="C90" s="0" t="n">
        <v>0</v>
      </c>
      <c r="D90" s="2" t="n">
        <v>30535</v>
      </c>
      <c r="E90" s="2" t="n">
        <f aca="false">C90-B90</f>
        <v>0</v>
      </c>
      <c r="F90" s="2" t="n">
        <f aca="false">D90-E90</f>
        <v>30535</v>
      </c>
      <c r="G90" s="3" t="n">
        <v>550.05</v>
      </c>
      <c r="H90" s="0" t="n">
        <f aca="false">D90/40000*G90</f>
        <v>419.89441875</v>
      </c>
      <c r="I90" s="0" t="n">
        <f aca="false">F90/400000*G90</f>
        <v>41.989441875</v>
      </c>
    </row>
    <row r="91" customFormat="false" ht="15.75" hidden="false" customHeight="false" outlineLevel="0" collapsed="false">
      <c r="A91" s="1" t="s">
        <v>97</v>
      </c>
      <c r="B91" s="2" t="n">
        <v>0</v>
      </c>
      <c r="C91" s="0" t="n">
        <v>0</v>
      </c>
      <c r="D91" s="2" t="n">
        <v>29887</v>
      </c>
      <c r="E91" s="2" t="n">
        <f aca="false">C91-B91</f>
        <v>0</v>
      </c>
      <c r="F91" s="2" t="n">
        <f aca="false">D91-E91</f>
        <v>29887</v>
      </c>
      <c r="G91" s="4" t="n">
        <v>545.99</v>
      </c>
      <c r="H91" s="0" t="n">
        <f aca="false">D91/40000*G91</f>
        <v>407.95007825</v>
      </c>
      <c r="I91" s="0" t="n">
        <f aca="false">F91/400000*G91</f>
        <v>40.795007825</v>
      </c>
    </row>
    <row r="92" customFormat="false" ht="15.75" hidden="false" customHeight="false" outlineLevel="0" collapsed="false">
      <c r="A92" s="1" t="s">
        <v>98</v>
      </c>
      <c r="B92" s="2" t="n">
        <v>0</v>
      </c>
      <c r="C92" s="0" t="n">
        <v>0</v>
      </c>
      <c r="D92" s="2" t="n">
        <v>29376</v>
      </c>
      <c r="E92" s="2" t="n">
        <f aca="false">C92-B92</f>
        <v>0</v>
      </c>
      <c r="F92" s="2" t="n">
        <f aca="false">D92-E92</f>
        <v>29376</v>
      </c>
      <c r="G92" s="3" t="n">
        <v>543.76</v>
      </c>
      <c r="H92" s="0" t="n">
        <f aca="false">D92/40000*G92</f>
        <v>399.337344</v>
      </c>
      <c r="I92" s="0" t="n">
        <f aca="false">F92/400000*G92</f>
        <v>39.9337344</v>
      </c>
    </row>
    <row r="93" customFormat="false" ht="15.75" hidden="false" customHeight="false" outlineLevel="0" collapsed="false">
      <c r="A93" s="1" t="s">
        <v>99</v>
      </c>
      <c r="B93" s="2" t="n">
        <v>0</v>
      </c>
      <c r="C93" s="0" t="n">
        <v>0</v>
      </c>
      <c r="D93" s="2" t="n">
        <v>29817</v>
      </c>
      <c r="E93" s="2" t="n">
        <f aca="false">C93-B93</f>
        <v>0</v>
      </c>
      <c r="F93" s="2" t="n">
        <f aca="false">D93-E93</f>
        <v>29817</v>
      </c>
      <c r="G93" s="4" t="n">
        <v>525.21</v>
      </c>
      <c r="H93" s="0" t="n">
        <f aca="false">D93/40000*G93</f>
        <v>391.50466425</v>
      </c>
      <c r="I93" s="0" t="n">
        <f aca="false">F93/400000*G93</f>
        <v>39.150466425</v>
      </c>
    </row>
    <row r="94" customFormat="false" ht="15.75" hidden="false" customHeight="false" outlineLevel="0" collapsed="false">
      <c r="A94" s="1" t="s">
        <v>100</v>
      </c>
      <c r="B94" s="2" t="n">
        <v>0</v>
      </c>
      <c r="C94" s="0" t="n">
        <v>0</v>
      </c>
      <c r="D94" s="2" t="n">
        <v>30173</v>
      </c>
      <c r="E94" s="2" t="n">
        <f aca="false">C94-B94</f>
        <v>0</v>
      </c>
      <c r="F94" s="2" t="n">
        <f aca="false">D94-E94</f>
        <v>30173</v>
      </c>
      <c r="G94" s="3" t="n">
        <v>548.85</v>
      </c>
      <c r="H94" s="0" t="n">
        <f aca="false">D94/40000*G94</f>
        <v>414.01127625</v>
      </c>
      <c r="I94" s="0" t="n">
        <f aca="false">F94/400000*G94</f>
        <v>41.401127625</v>
      </c>
    </row>
    <row r="95" customFormat="false" ht="15.75" hidden="false" customHeight="false" outlineLevel="0" collapsed="false">
      <c r="A95" s="1" t="s">
        <v>101</v>
      </c>
      <c r="B95" s="2" t="n">
        <v>0</v>
      </c>
      <c r="C95" s="0" t="n">
        <v>0</v>
      </c>
      <c r="D95" s="2" t="n">
        <v>29799</v>
      </c>
      <c r="E95" s="2" t="n">
        <f aca="false">C95-B95</f>
        <v>0</v>
      </c>
      <c r="F95" s="2" t="n">
        <f aca="false">D95-E95</f>
        <v>29799</v>
      </c>
      <c r="G95" s="4" t="n">
        <v>525.58</v>
      </c>
      <c r="H95" s="0" t="n">
        <f aca="false">D95/40000*G95</f>
        <v>391.5439605</v>
      </c>
      <c r="I95" s="0" t="n">
        <f aca="false">F95/400000*G95</f>
        <v>39.15439605</v>
      </c>
    </row>
    <row r="96" customFormat="false" ht="15.75" hidden="false" customHeight="false" outlineLevel="0" collapsed="false">
      <c r="A96" s="1" t="s">
        <v>102</v>
      </c>
      <c r="B96" s="2" t="n">
        <v>0</v>
      </c>
      <c r="C96" s="0" t="n">
        <v>0</v>
      </c>
      <c r="D96" s="2" t="n">
        <v>29885</v>
      </c>
      <c r="E96" s="2" t="n">
        <f aca="false">C96-B96</f>
        <v>0</v>
      </c>
      <c r="F96" s="2" t="n">
        <f aca="false">D96-E96</f>
        <v>29885</v>
      </c>
      <c r="G96" s="3" t="n">
        <v>511.33</v>
      </c>
      <c r="H96" s="0" t="n">
        <f aca="false">D96/40000*G96</f>
        <v>382.02742625</v>
      </c>
      <c r="I96" s="0" t="n">
        <f aca="false">F96/400000*G96</f>
        <v>38.202742625</v>
      </c>
    </row>
    <row r="97" customFormat="false" ht="15.75" hidden="false" customHeight="false" outlineLevel="0" collapsed="false">
      <c r="A97" s="1" t="s">
        <v>103</v>
      </c>
      <c r="B97" s="2" t="n">
        <v>0</v>
      </c>
      <c r="C97" s="0" t="n">
        <v>0</v>
      </c>
      <c r="D97" s="2" t="n">
        <v>30218</v>
      </c>
      <c r="E97" s="2" t="n">
        <f aca="false">C97-B97</f>
        <v>0</v>
      </c>
      <c r="F97" s="2" t="n">
        <f aca="false">D97-E97</f>
        <v>30218</v>
      </c>
      <c r="G97" s="4" t="n">
        <v>507.12</v>
      </c>
      <c r="H97" s="0" t="n">
        <f aca="false">D97/40000*G97</f>
        <v>383.103804</v>
      </c>
      <c r="I97" s="0" t="n">
        <f aca="false">F97/400000*G97</f>
        <v>38.3103804</v>
      </c>
    </row>
    <row r="98" customFormat="false" ht="15.75" hidden="false" customHeight="false" outlineLevel="0" collapsed="false">
      <c r="E98" s="2"/>
      <c r="F98" s="2"/>
    </row>
    <row r="99" customFormat="false" ht="15.75" hidden="false" customHeight="false" outlineLevel="0" collapsed="false">
      <c r="E99" s="2"/>
      <c r="F9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pl-PL</dc:language>
  <cp:lastModifiedBy/>
  <dcterms:modified xsi:type="dcterms:W3CDTF">2026-05-07T20:53:04Z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